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lar\Documents\Excel Project\Excel Projects\"/>
    </mc:Choice>
  </mc:AlternateContent>
  <xr:revisionPtr revIDLastSave="0" documentId="13_ncr:1_{A7337B9C-61A1-4497-90C3-6DB6D81C2F0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arketing Team" sheetId="1" r:id="rId1"/>
    <sheet name="Analysis" sheetId="5" r:id="rId2"/>
    <sheet name="Dashboard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5" l="1"/>
  <c r="B43" i="5"/>
  <c r="H54" i="5"/>
  <c r="H53" i="5"/>
  <c r="H52" i="5"/>
  <c r="H51" i="5"/>
  <c r="H50" i="5"/>
  <c r="H49" i="5"/>
  <c r="H48" i="5"/>
  <c r="H47" i="5"/>
  <c r="H46" i="5"/>
  <c r="H45" i="5"/>
  <c r="G44" i="5" a="1"/>
  <c r="G44" i="5"/>
  <c r="J10" i="5"/>
  <c r="J9" i="5"/>
  <c r="I9" i="5" a="1"/>
  <c r="I9" i="5"/>
  <c r="H9" i="5" a="1"/>
  <c r="H9" i="5"/>
  <c r="C31" i="5"/>
  <c r="C30" i="5"/>
  <c r="C29" i="5"/>
  <c r="C28" i="5"/>
  <c r="C27" i="5"/>
  <c r="C26" i="5"/>
  <c r="C25" i="5"/>
  <c r="C24" i="5"/>
  <c r="C23" i="5"/>
  <c r="C22" i="5"/>
  <c r="C21" i="5"/>
  <c r="A57" i="5" s="1"/>
  <c r="B21" i="5" a="1"/>
  <c r="B21" i="5"/>
  <c r="A21" i="5" a="1"/>
  <c r="A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<sst xmlns="http://schemas.openxmlformats.org/spreadsheetml/2006/main" count="241" uniqueCount="70">
  <si>
    <t>Campaign Name</t>
  </si>
  <si>
    <t>Audience</t>
  </si>
  <si>
    <t>Age</t>
  </si>
  <si>
    <t>Geography</t>
  </si>
  <si>
    <t>Reach</t>
  </si>
  <si>
    <t>Impressions</t>
  </si>
  <si>
    <t>Frequency</t>
  </si>
  <si>
    <t>Clicks</t>
  </si>
  <si>
    <t>Unique Clicks</t>
  </si>
  <si>
    <t>Unique Link Clicks (ULC)</t>
  </si>
  <si>
    <t>Click-Through Rate (CTR in %)</t>
  </si>
  <si>
    <t>Unique Click-Through Rate (Unique CTR in %)</t>
  </si>
  <si>
    <t>Cost Per Click (CPC)</t>
  </si>
  <si>
    <t>Cost per Result (CPR)</t>
  </si>
  <si>
    <t>Campaign 1</t>
  </si>
  <si>
    <t>SHU_6 (Educators and Principals)</t>
  </si>
  <si>
    <t>Educators and Principals</t>
  </si>
  <si>
    <t>25-34</t>
  </si>
  <si>
    <t>Group 1 (Australia, Canada, United Kingdom, Ghana, Nigeria, Pakistan, United States)</t>
  </si>
  <si>
    <t>35-44</t>
  </si>
  <si>
    <t>45-54</t>
  </si>
  <si>
    <t>55-64</t>
  </si>
  <si>
    <t>Campaign 2</t>
  </si>
  <si>
    <t>SHU3_ (Students Apart from India and US)</t>
  </si>
  <si>
    <t>Students</t>
  </si>
  <si>
    <t>18-24</t>
  </si>
  <si>
    <t>Group 2 (Australia, Canada, United Kingdom, Ghana, Niger, Nigeria, Nepal, Pakistan, Thailand, Taiwan)</t>
  </si>
  <si>
    <t>13-17</t>
  </si>
  <si>
    <t>Campaign 3</t>
  </si>
  <si>
    <t>SHU_Students(Australia)</t>
  </si>
  <si>
    <t>Australia</t>
  </si>
  <si>
    <t>Campaign 4</t>
  </si>
  <si>
    <t>SHU_Students (Canada)</t>
  </si>
  <si>
    <t>Canada</t>
  </si>
  <si>
    <t>Campaign 5</t>
  </si>
  <si>
    <t>SHU_Students(Ghana)</t>
  </si>
  <si>
    <t>Ghana</t>
  </si>
  <si>
    <t>Campaign 6</t>
  </si>
  <si>
    <t>SHU_Students (India)</t>
  </si>
  <si>
    <t>India</t>
  </si>
  <si>
    <t>Campaign 7</t>
  </si>
  <si>
    <t>SHU_Students(Nepal)</t>
  </si>
  <si>
    <t>Nepal</t>
  </si>
  <si>
    <t>Campaign 8</t>
  </si>
  <si>
    <t>SHU_Students (Nigeria)</t>
  </si>
  <si>
    <t>Nigeria</t>
  </si>
  <si>
    <t>Campaign 9</t>
  </si>
  <si>
    <t>SHU_Students(UAE)</t>
  </si>
  <si>
    <t>UAE</t>
  </si>
  <si>
    <t>Campaign 10</t>
  </si>
  <si>
    <t>SHU_Students(UK)</t>
  </si>
  <si>
    <t>UK</t>
  </si>
  <si>
    <t>Campaign 11</t>
  </si>
  <si>
    <t>SHU_Students (USA)</t>
  </si>
  <si>
    <t>USA</t>
  </si>
  <si>
    <t>Campaign ID</t>
  </si>
  <si>
    <t>Grand Total</t>
  </si>
  <si>
    <t>Amount Spent</t>
  </si>
  <si>
    <t>Campaigns</t>
  </si>
  <si>
    <t>Sum of Clicks</t>
  </si>
  <si>
    <t>Average of Click-Through Rate (CTR in %)</t>
  </si>
  <si>
    <t>Sum of Amount Spent</t>
  </si>
  <si>
    <t>CTR</t>
  </si>
  <si>
    <t>Cost Per Click</t>
  </si>
  <si>
    <t>CPC</t>
  </si>
  <si>
    <t xml:space="preserve"> Clicks</t>
  </si>
  <si>
    <t xml:space="preserve"> Unique Clicks</t>
  </si>
  <si>
    <t>Total Clicks</t>
  </si>
  <si>
    <t>Total Campaigns</t>
  </si>
  <si>
    <t>Average 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</si>
</sst>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3" applyNumberFormat="1" applyFon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44" fontId="0" fillId="0" borderId="0" xfId="2" applyFont="1"/>
    <xf numFmtId="0" fontId="2" fillId="0" borderId="0" xfId="0" applyFont="1" applyAlignment="1">
      <alignment horizontal="left"/>
    </xf>
    <xf numFmtId="44" fontId="0" fillId="0" borderId="0" xfId="0" applyNumberFormat="1"/>
    <xf numFmtId="43" fontId="0" fillId="0" borderId="0" xfId="1" applyFont="1"/>
    <xf numFmtId="166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z val="12"/>
        <color theme="1"/>
        <name val="Calibri"/>
        <family val="2"/>
        <scheme val="none"/>
      </font>
      <fill>
        <patternFill>
          <bgColor rgb="FFFBA7AD"/>
        </patternFill>
      </fill>
      <border>
        <bottom style="thin">
          <color theme="5"/>
        </bottom>
        <vertical/>
        <horizontal/>
      </border>
    </dxf>
    <dxf>
      <font>
        <b/>
        <i val="0"/>
        <sz val="11"/>
        <color theme="1"/>
        <name val="Calibri"/>
        <family val="2"/>
        <scheme val="none"/>
      </font>
      <fill>
        <patternFill>
          <bgColor rgb="FFF16F5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2" defaultPivotStyle="PivotStyleLight16">
    <tableStyle name="SlicerStyleLight2 2" pivot="0" table="0" count="10" xr9:uid="{D0E24C0D-4913-4F03-96B5-6C7928799CF8}">
      <tableStyleElement type="wholeTable" dxfId="19"/>
      <tableStyleElement type="headerRow" dxfId="18"/>
    </tableStyle>
  </tableStyles>
  <colors>
    <mruColors>
      <color rgb="FFF16F55"/>
      <color rgb="FFFBA7AD"/>
      <color rgb="FFEC626F"/>
      <color rgb="FFEDEDF4"/>
      <color rgb="FF780000"/>
      <color rgb="FFFAD998"/>
      <color rgb="FFFDF0D5"/>
      <color rgb="FFFF6D6D"/>
      <color rgb="FF8D1717"/>
      <color rgb="FFBD1E1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Analysis!$H$9</c:f>
              <c:strCache>
                <c:ptCount val="1"/>
                <c:pt idx="0">
                  <c:v>Educators and Principals</c:v>
                </c:pt>
              </c:strCache>
            </c:strRef>
          </c:tx>
          <c:spPr>
            <a:solidFill>
              <a:srgbClr val="FAD998"/>
            </a:solidFill>
            <a:ln>
              <a:noFill/>
            </a:ln>
            <a:effectLst/>
          </c:spPr>
          <c:invertIfNegative val="0"/>
          <c:cat>
            <c:strRef>
              <c:f>Analysis!$I$8:$J$8</c:f>
              <c:strCache>
                <c:ptCount val="2"/>
                <c:pt idx="0">
                  <c:v>CTR</c:v>
                </c:pt>
                <c:pt idx="1">
                  <c:v>CPC</c:v>
                </c:pt>
              </c:strCache>
            </c:strRef>
          </c:cat>
          <c:val>
            <c:numRef>
              <c:f>Analysis!$I$9:$J$9</c:f>
              <c:numCache>
                <c:formatCode>_("$"* #,##0.00_);_("$"* \(#,##0.00\);_("$"* "-"??_);_(@_)</c:formatCode>
                <c:ptCount val="2"/>
                <c:pt idx="0" formatCode="0.00">
                  <c:v>2.7304381238931112</c:v>
                </c:pt>
                <c:pt idx="1">
                  <c:v>1.9157060755336617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A-4BBF-8875-0A79B1169763}"/>
            </c:ext>
          </c:extLst>
        </c:ser>
        <c:ser>
          <c:idx val="1"/>
          <c:order val="1"/>
          <c:tx>
            <c:strRef>
              <c:f>Analysis!$H$10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780000"/>
            </a:solidFill>
            <a:ln>
              <a:noFill/>
            </a:ln>
            <a:effectLst/>
          </c:spPr>
          <c:invertIfNegative val="0"/>
          <c:cat>
            <c:strRef>
              <c:f>Analysis!$I$8:$J$8</c:f>
              <c:strCache>
                <c:ptCount val="2"/>
                <c:pt idx="0">
                  <c:v>CTR</c:v>
                </c:pt>
                <c:pt idx="1">
                  <c:v>CPC</c:v>
                </c:pt>
              </c:strCache>
            </c:strRef>
          </c:cat>
          <c:val>
            <c:numRef>
              <c:f>Analysis!$I$10:$J$10</c:f>
              <c:numCache>
                <c:formatCode>_("$"* #,##0.00_);_("$"* \(#,##0.00\);_("$"* "-"??_);_(@_)</c:formatCode>
                <c:ptCount val="2"/>
                <c:pt idx="0" formatCode="0.00">
                  <c:v>5.1020149001040043</c:v>
                </c:pt>
                <c:pt idx="1">
                  <c:v>0.90268159526233005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A-4BBF-8875-0A79B116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axId val="1612264672"/>
        <c:axId val="1612258432"/>
      </c:barChart>
      <c:catAx>
        <c:axId val="161226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58432"/>
        <c:crosses val="autoZero"/>
        <c:auto val="1"/>
        <c:lblAlgn val="ctr"/>
        <c:lblOffset val="100"/>
        <c:noMultiLvlLbl val="0"/>
      </c:catAx>
      <c:valAx>
        <c:axId val="16122584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CTR</c:v>
                </c:pt>
              </c:strCache>
            </c:strRef>
          </c:tx>
          <c:spPr>
            <a:solidFill>
              <a:srgbClr val="FAD998"/>
            </a:solidFill>
            <a:ln>
              <a:noFill/>
            </a:ln>
            <a:effectLst/>
          </c:spPr>
          <c:invertIfNegative val="0"/>
          <c:cat>
            <c:strRef>
              <c:f>Analysis!$A$21:$A$31</c:f>
              <c:strCache>
                <c:ptCount val="11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2</c:v>
                </c:pt>
                <c:pt idx="4">
                  <c:v>Campaign 3</c:v>
                </c:pt>
                <c:pt idx="5">
                  <c:v>Campaign 4</c:v>
                </c:pt>
                <c:pt idx="6">
                  <c:v>Campaign 5</c:v>
                </c:pt>
                <c:pt idx="7">
                  <c:v>Campaign 6</c:v>
                </c:pt>
                <c:pt idx="8">
                  <c:v>Campaign 7</c:v>
                </c:pt>
                <c:pt idx="9">
                  <c:v>Campaign 8</c:v>
                </c:pt>
                <c:pt idx="10">
                  <c:v>Campaign 9</c:v>
                </c:pt>
              </c:strCache>
            </c:strRef>
          </c:cat>
          <c:val>
            <c:numRef>
              <c:f>Analysis!$B$21:$B$31</c:f>
              <c:numCache>
                <c:formatCode>0.00</c:formatCode>
                <c:ptCount val="11"/>
                <c:pt idx="0">
                  <c:v>2.7304381238931112</c:v>
                </c:pt>
                <c:pt idx="1">
                  <c:v>3.6253124901015283</c:v>
                </c:pt>
                <c:pt idx="2">
                  <c:v>8.9337443909037759</c:v>
                </c:pt>
                <c:pt idx="3">
                  <c:v>5.9292968515454838</c:v>
                </c:pt>
                <c:pt idx="4">
                  <c:v>4.3538692180669036</c:v>
                </c:pt>
                <c:pt idx="5">
                  <c:v>5.5134615326511502</c:v>
                </c:pt>
                <c:pt idx="6">
                  <c:v>3.3636906720613964</c:v>
                </c:pt>
                <c:pt idx="7">
                  <c:v>4.3035625257440628</c:v>
                </c:pt>
                <c:pt idx="8">
                  <c:v>2.2311617081334894</c:v>
                </c:pt>
                <c:pt idx="9">
                  <c:v>9.8521289638791743</c:v>
                </c:pt>
                <c:pt idx="10">
                  <c:v>2.647769856499778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4-4B7C-BF17-A5FE3D13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253152"/>
        <c:axId val="1612232032"/>
      </c:barChart>
      <c:lineChart>
        <c:grouping val="standard"/>
        <c:varyColors val="0"/>
        <c:ser>
          <c:idx val="1"/>
          <c:order val="1"/>
          <c:tx>
            <c:strRef>
              <c:f>Analysis!$C$20</c:f>
              <c:strCache>
                <c:ptCount val="1"/>
                <c:pt idx="0">
                  <c:v>Cost Per Click</c:v>
                </c:pt>
              </c:strCache>
            </c:strRef>
          </c:tx>
          <c:spPr>
            <a:ln w="28575" cap="rnd">
              <a:solidFill>
                <a:srgbClr val="780000"/>
              </a:solidFill>
              <a:round/>
            </a:ln>
            <a:effectLst/>
          </c:spPr>
          <c:marker>
            <c:symbol val="none"/>
          </c:marker>
          <c:cat>
            <c:strRef>
              <c:f>Analysis!$A$21:$A$31</c:f>
              <c:strCache>
                <c:ptCount val="11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2</c:v>
                </c:pt>
                <c:pt idx="4">
                  <c:v>Campaign 3</c:v>
                </c:pt>
                <c:pt idx="5">
                  <c:v>Campaign 4</c:v>
                </c:pt>
                <c:pt idx="6">
                  <c:v>Campaign 5</c:v>
                </c:pt>
                <c:pt idx="7">
                  <c:v>Campaign 6</c:v>
                </c:pt>
                <c:pt idx="8">
                  <c:v>Campaign 7</c:v>
                </c:pt>
                <c:pt idx="9">
                  <c:v>Campaign 8</c:v>
                </c:pt>
                <c:pt idx="10">
                  <c:v>Campaign 9</c:v>
                </c:pt>
              </c:strCache>
            </c:strRef>
          </c:cat>
          <c:val>
            <c:numRef>
              <c:f>Analysis!$C$21:$C$31</c:f>
              <c:numCache>
                <c:formatCode>_("$"* #,##0.00_);_("$"* \(#,##0.00\);_("$"* "-"??_);_(@_)</c:formatCode>
                <c:ptCount val="11"/>
                <c:pt idx="0">
                  <c:v>1.9157060755336617</c:v>
                </c:pt>
                <c:pt idx="1">
                  <c:v>7.0799173553719008</c:v>
                </c:pt>
                <c:pt idx="2">
                  <c:v>5.04314606741573</c:v>
                </c:pt>
                <c:pt idx="3">
                  <c:v>0.42185947101255677</c:v>
                </c:pt>
                <c:pt idx="4">
                  <c:v>7.1485714285714286</c:v>
                </c:pt>
                <c:pt idx="5">
                  <c:v>5.4032748538011699</c:v>
                </c:pt>
                <c:pt idx="6">
                  <c:v>1.2928703703703706</c:v>
                </c:pt>
                <c:pt idx="7">
                  <c:v>0.68229285714285715</c:v>
                </c:pt>
                <c:pt idx="8">
                  <c:v>0.72904225352112673</c:v>
                </c:pt>
                <c:pt idx="9">
                  <c:v>0.34096925858951171</c:v>
                </c:pt>
                <c:pt idx="10">
                  <c:v>3.6209090909090911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4-4B7C-BF17-A5FE3D13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253152"/>
        <c:axId val="1612232032"/>
      </c:lineChart>
      <c:catAx>
        <c:axId val="1612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C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612232032"/>
        <c:crosses val="autoZero"/>
        <c:auto val="1"/>
        <c:lblAlgn val="ctr"/>
        <c:lblOffset val="100"/>
        <c:noMultiLvlLbl val="0"/>
      </c:catAx>
      <c:valAx>
        <c:axId val="16122320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Team Data.xlsx]Analysis!Age group performnace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AD9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01537448268404"/>
          <c:y val="8.2687338501291993E-2"/>
          <c:w val="0.69082308531658265"/>
          <c:h val="0.82956072351421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Analysis!$I$15</c:f>
              <c:strCache>
                <c:ptCount val="1"/>
                <c:pt idx="0">
                  <c:v> Clicks</c:v>
                </c:pt>
              </c:strCache>
            </c:strRef>
          </c:tx>
          <c:spPr>
            <a:solidFill>
              <a:srgbClr val="FAD998"/>
            </a:solidFill>
            <a:ln>
              <a:noFill/>
            </a:ln>
            <a:effectLst/>
          </c:spPr>
          <c:invertIfNegative val="0"/>
          <c:cat>
            <c:strRef>
              <c:f>Analysis!$H$16:$H$22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Analysis!$I$16:$I$22</c:f>
              <c:numCache>
                <c:formatCode>0</c:formatCode>
                <c:ptCount val="6"/>
                <c:pt idx="0">
                  <c:v>2836</c:v>
                </c:pt>
                <c:pt idx="1">
                  <c:v>6780</c:v>
                </c:pt>
                <c:pt idx="2">
                  <c:v>1678</c:v>
                </c:pt>
                <c:pt idx="3">
                  <c:v>484</c:v>
                </c:pt>
                <c:pt idx="4">
                  <c:v>198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6-4DE1-84E9-F202515E72C7}"/>
            </c:ext>
          </c:extLst>
        </c:ser>
        <c:ser>
          <c:idx val="1"/>
          <c:order val="1"/>
          <c:tx>
            <c:strRef>
              <c:f>Analysis!$J$15</c:f>
              <c:strCache>
                <c:ptCount val="1"/>
                <c:pt idx="0">
                  <c:v> Unique Clicks</c:v>
                </c:pt>
              </c:strCache>
            </c:strRef>
          </c:tx>
          <c:spPr>
            <a:solidFill>
              <a:srgbClr val="780000"/>
            </a:solidFill>
            <a:ln>
              <a:noFill/>
            </a:ln>
            <a:effectLst/>
          </c:spPr>
          <c:invertIfNegative val="0"/>
          <c:cat>
            <c:strRef>
              <c:f>Analysis!$H$16:$H$22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Analysis!$J$16:$J$22</c:f>
              <c:numCache>
                <c:formatCode>0</c:formatCode>
                <c:ptCount val="6"/>
                <c:pt idx="0">
                  <c:v>2136</c:v>
                </c:pt>
                <c:pt idx="1">
                  <c:v>5435</c:v>
                </c:pt>
                <c:pt idx="2">
                  <c:v>1372</c:v>
                </c:pt>
                <c:pt idx="3">
                  <c:v>376</c:v>
                </c:pt>
                <c:pt idx="4">
                  <c:v>145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6-4DE1-84E9-F202515E7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788096"/>
        <c:axId val="1326761216"/>
      </c:barChart>
      <c:catAx>
        <c:axId val="13267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61216"/>
        <c:crosses val="autoZero"/>
        <c:auto val="1"/>
        <c:lblAlgn val="ctr"/>
        <c:lblOffset val="100"/>
        <c:noMultiLvlLbl val="0"/>
      </c:catAx>
      <c:valAx>
        <c:axId val="13267612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Analysis!$H$43:$H$44</c:f>
              <c:strCache>
                <c:ptCount val="2"/>
                <c:pt idx="0">
                  <c:v>Geography</c:v>
                </c:pt>
                <c:pt idx="1">
                  <c:v>CPC</c:v>
                </c:pt>
              </c:strCache>
            </c:strRef>
          </c:tx>
          <c:spPr>
            <a:solidFill>
              <a:srgbClr val="FAD99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D0-40FD-9FE8-35AA4FAA9B85}"/>
              </c:ext>
            </c:extLst>
          </c:dPt>
          <c:dPt>
            <c:idx val="4"/>
            <c:invertIfNegative val="0"/>
            <c:bubble3D val="0"/>
            <c:spPr>
              <a:solidFill>
                <a:srgbClr val="78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D0-40FD-9FE8-35AA4FAA9B85}"/>
              </c:ext>
            </c:extLst>
          </c:dPt>
          <c:dPt>
            <c:idx val="5"/>
            <c:invertIfNegative val="0"/>
            <c:bubble3D val="0"/>
            <c:spPr>
              <a:solidFill>
                <a:srgbClr val="78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D0-40FD-9FE8-35AA4FAA9B85}"/>
              </c:ext>
            </c:extLst>
          </c:dPt>
          <c:dPt>
            <c:idx val="6"/>
            <c:invertIfNegative val="0"/>
            <c:bubble3D val="0"/>
            <c:spPr>
              <a:solidFill>
                <a:srgbClr val="78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D0-40FD-9FE8-35AA4FAA9B8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D0-40FD-9FE8-35AA4FAA9B85}"/>
              </c:ext>
            </c:extLst>
          </c:dPt>
          <c:cat>
            <c:strRef>
              <c:f>Analysis!$G$45:$G$54</c:f>
              <c:strCache>
                <c:ptCount val="10"/>
                <c:pt idx="0">
                  <c:v>Canada</c:v>
                </c:pt>
                <c:pt idx="1">
                  <c:v>Ghana</c:v>
                </c:pt>
                <c:pt idx="2">
                  <c:v>Group 1 (Australia, Canada, United Kingdom, Ghana, Nigeria, Pakistan, United States)</c:v>
                </c:pt>
                <c:pt idx="3">
                  <c:v>Group 2 (Australia, Canada, United Kingdom, Ghana, Niger, Nigeria, Nepal, Pakistan, Thailand, Taiwan)</c:v>
                </c:pt>
                <c:pt idx="4">
                  <c:v>India</c:v>
                </c:pt>
                <c:pt idx="5">
                  <c:v>Nepal</c:v>
                </c:pt>
                <c:pt idx="6">
                  <c:v>Nigeria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Analysis!$H$45:$H$54</c:f>
              <c:numCache>
                <c:formatCode>_("$"* #,##0.00_);_("$"* \(#,##0.00\);_("$"* "-"??_);_(@_)</c:formatCode>
                <c:ptCount val="10"/>
                <c:pt idx="0">
                  <c:v>7.1485714285714286</c:v>
                </c:pt>
                <c:pt idx="1">
                  <c:v>5.4032748538011699</c:v>
                </c:pt>
                <c:pt idx="2">
                  <c:v>1.2928703703703706</c:v>
                </c:pt>
                <c:pt idx="3">
                  <c:v>1.9157060755336617</c:v>
                </c:pt>
                <c:pt idx="4">
                  <c:v>0.42185947101255677</c:v>
                </c:pt>
                <c:pt idx="5">
                  <c:v>0.68229285714285715</c:v>
                </c:pt>
                <c:pt idx="6">
                  <c:v>0.72904225352112673</c:v>
                </c:pt>
                <c:pt idx="7">
                  <c:v>3.6209090909090911</c:v>
                </c:pt>
                <c:pt idx="8">
                  <c:v>7.0799173553719008</c:v>
                </c:pt>
                <c:pt idx="9">
                  <c:v>5.04314606741573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D0-40FD-9FE8-35AA4FAA9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289152"/>
        <c:axId val="1612288672"/>
      </c:barChart>
      <c:catAx>
        <c:axId val="16122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88672"/>
        <c:crosses val="autoZero"/>
        <c:auto val="1"/>
        <c:lblAlgn val="ctr"/>
        <c:lblOffset val="100"/>
        <c:noMultiLvlLbl val="0"/>
      </c:catAx>
      <c:valAx>
        <c:axId val="161228867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8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nalysis!A1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Dashboard!A1"/><Relationship Id="rId11" Type="http://schemas.openxmlformats.org/officeDocument/2006/relationships/image" Target="../media/image4.png"/><Relationship Id="rId5" Type="http://schemas.openxmlformats.org/officeDocument/2006/relationships/chart" Target="../charts/chart4.xml"/><Relationship Id="rId10" Type="http://schemas.openxmlformats.org/officeDocument/2006/relationships/hyperlink" Target="#'Marketing Team'!A1"/><Relationship Id="rId4" Type="http://schemas.openxmlformats.org/officeDocument/2006/relationships/chart" Target="../charts/chart3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508793</xdr:colOff>
      <xdr:row>0</xdr:row>
      <xdr:rowOff>39886</xdr:rowOff>
    </xdr:from>
    <xdr:to>
      <xdr:col>28</xdr:col>
      <xdr:colOff>124815</xdr:colOff>
      <xdr:row>51</xdr:row>
      <xdr:rowOff>113425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6BCAC886-23D1-3B40-FBAE-01952A580F4E}"/>
            </a:ext>
          </a:extLst>
        </xdr:cNvPr>
        <xdr:cNvGrpSpPr/>
      </xdr:nvGrpSpPr>
      <xdr:grpSpPr>
        <a:xfrm>
          <a:off x="1112490" y="39886"/>
          <a:ext cx="15915846" cy="8283821"/>
          <a:chOff x="1118988" y="39886"/>
          <a:chExt cx="16091296" cy="8422797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AD4BB223-54C6-A1E4-C570-FAB01E58E718}"/>
              </a:ext>
            </a:extLst>
          </xdr:cNvPr>
          <xdr:cNvSpPr/>
        </xdr:nvSpPr>
        <xdr:spPr>
          <a:xfrm>
            <a:off x="1118988" y="39886"/>
            <a:ext cx="16091296" cy="8374658"/>
          </a:xfrm>
          <a:prstGeom prst="roundRect">
            <a:avLst>
              <a:gd name="adj" fmla="val 1861"/>
            </a:avLst>
          </a:prstGeom>
          <a:solidFill>
            <a:srgbClr val="EDEDF4"/>
          </a:solidFill>
          <a:ln>
            <a:noFill/>
          </a:ln>
          <a:effectLst>
            <a:outerShdw blurRad="50800" dist="38100" dir="5400000" algn="t" rotWithShape="0">
              <a:schemeClr val="bg1">
                <a:lumMod val="6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8FDF06D2-B65D-A1E5-A016-EFBA3D016F6E}"/>
              </a:ext>
            </a:extLst>
          </xdr:cNvPr>
          <xdr:cNvSpPr/>
        </xdr:nvSpPr>
        <xdr:spPr>
          <a:xfrm>
            <a:off x="1267023" y="124754"/>
            <a:ext cx="15756632" cy="2809177"/>
          </a:xfrm>
          <a:prstGeom prst="roundRect">
            <a:avLst>
              <a:gd name="adj" fmla="val 10606"/>
            </a:avLst>
          </a:prstGeom>
          <a:solidFill>
            <a:srgbClr val="BD1E1E"/>
          </a:solidFill>
          <a:ln>
            <a:noFill/>
          </a:ln>
          <a:effectLst>
            <a:outerShdw blurRad="50800" dist="38100" dir="5400000" algn="t" rotWithShape="0">
              <a:srgbClr val="FF0000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EB69FE2-283D-2B5A-BA6C-D085D847E98B}"/>
              </a:ext>
            </a:extLst>
          </xdr:cNvPr>
          <xdr:cNvSpPr txBox="1"/>
        </xdr:nvSpPr>
        <xdr:spPr>
          <a:xfrm>
            <a:off x="1958479" y="74388"/>
            <a:ext cx="3998690" cy="3964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Campaign Performance Analysis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0F25630-53E3-4A65-8A65-847D706E0EBD}"/>
              </a:ext>
            </a:extLst>
          </xdr:cNvPr>
          <xdr:cNvSpPr txBox="1"/>
        </xdr:nvSpPr>
        <xdr:spPr>
          <a:xfrm>
            <a:off x="2007890" y="396939"/>
            <a:ext cx="7269823" cy="3964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>
                <a:solidFill>
                  <a:schemeClr val="bg1"/>
                </a:solidFill>
              </a:rPr>
              <a:t>Identifying underperforming campaigns and optimizing ad spend through data-driven insights</a:t>
            </a:r>
            <a:endParaRPr lang="en-US" sz="1200">
              <a:solidFill>
                <a:schemeClr val="bg1"/>
              </a:solidFill>
            </a:endParaRPr>
          </a:p>
          <a:p>
            <a:endParaRPr lang="en-US" sz="20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3586269-7800-549A-AC0E-6605933F1A0B}"/>
              </a:ext>
            </a:extLst>
          </xdr:cNvPr>
          <xdr:cNvCxnSpPr/>
        </xdr:nvCxnSpPr>
        <xdr:spPr>
          <a:xfrm>
            <a:off x="2002126" y="693908"/>
            <a:ext cx="14470573" cy="11484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3459FDF-951C-F6DB-62F9-4FCE1DB13D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5508" y="137127"/>
            <a:ext cx="761856" cy="889787"/>
          </a:xfrm>
          <a:prstGeom prst="rect">
            <a:avLst/>
          </a:prstGeom>
        </xdr:spPr>
      </xdr:pic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337C53D-15F9-80C1-983A-439D3431354C}"/>
              </a:ext>
            </a:extLst>
          </xdr:cNvPr>
          <xdr:cNvSpPr/>
        </xdr:nvSpPr>
        <xdr:spPr>
          <a:xfrm>
            <a:off x="3245611" y="721526"/>
            <a:ext cx="2274825" cy="761309"/>
          </a:xfrm>
          <a:prstGeom prst="roundRect">
            <a:avLst/>
          </a:prstGeom>
          <a:solidFill>
            <a:srgbClr val="8D1717"/>
          </a:solidFill>
          <a:ln>
            <a:noFill/>
          </a:ln>
          <a:effectLst>
            <a:outerShdw blurRad="50800" dist="38100" dir="5400000" algn="t" rotWithShape="0">
              <a:schemeClr val="accent2">
                <a:lumMod val="60000"/>
                <a:lumOff val="40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95D0815A-AF44-45C4-9F22-3CF9D797AA6E}"/>
              </a:ext>
            </a:extLst>
          </xdr:cNvPr>
          <xdr:cNvSpPr/>
        </xdr:nvSpPr>
        <xdr:spPr>
          <a:xfrm>
            <a:off x="6653260" y="721526"/>
            <a:ext cx="2274825" cy="761309"/>
          </a:xfrm>
          <a:prstGeom prst="roundRect">
            <a:avLst/>
          </a:prstGeom>
          <a:solidFill>
            <a:srgbClr val="8D1717"/>
          </a:solidFill>
          <a:ln>
            <a:noFill/>
          </a:ln>
          <a:effectLst>
            <a:outerShdw blurRad="50800" dist="38100" dir="5400000" algn="t" rotWithShape="0">
              <a:schemeClr val="accent2">
                <a:lumMod val="60000"/>
                <a:lumOff val="40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2FE5CFBD-86EF-432C-B64F-5BEC55F9DDBC}"/>
              </a:ext>
            </a:extLst>
          </xdr:cNvPr>
          <xdr:cNvSpPr/>
        </xdr:nvSpPr>
        <xdr:spPr>
          <a:xfrm>
            <a:off x="9944798" y="733897"/>
            <a:ext cx="2274825" cy="761309"/>
          </a:xfrm>
          <a:prstGeom prst="roundRect">
            <a:avLst/>
          </a:prstGeom>
          <a:solidFill>
            <a:srgbClr val="8D1717"/>
          </a:solidFill>
          <a:ln>
            <a:noFill/>
          </a:ln>
          <a:effectLst>
            <a:outerShdw blurRad="50800" dist="38100" dir="5400000" algn="t" rotWithShape="0">
              <a:schemeClr val="accent2">
                <a:lumMod val="60000"/>
                <a:lumOff val="40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C99E4BC1-E4EA-4070-80E2-C27C225DA69A}"/>
              </a:ext>
            </a:extLst>
          </xdr:cNvPr>
          <xdr:cNvSpPr/>
        </xdr:nvSpPr>
        <xdr:spPr>
          <a:xfrm>
            <a:off x="13277762" y="733897"/>
            <a:ext cx="2268168" cy="761309"/>
          </a:xfrm>
          <a:prstGeom prst="roundRect">
            <a:avLst/>
          </a:prstGeom>
          <a:solidFill>
            <a:srgbClr val="8D1717"/>
          </a:solidFill>
          <a:ln>
            <a:noFill/>
          </a:ln>
          <a:effectLst>
            <a:outerShdw blurRad="50800" dist="38100" dir="5400000" algn="t" rotWithShape="0">
              <a:schemeClr val="accent2">
                <a:lumMod val="60000"/>
                <a:lumOff val="40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7CECB5C-1DA5-4048-8B03-FC581B5B5D64}"/>
              </a:ext>
            </a:extLst>
          </xdr:cNvPr>
          <xdr:cNvSpPr txBox="1"/>
        </xdr:nvSpPr>
        <xdr:spPr>
          <a:xfrm>
            <a:off x="3685644" y="725856"/>
            <a:ext cx="1617374" cy="2700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Total Campaigns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904B899-512E-46A8-8155-4238D4E7AB98}"/>
              </a:ext>
            </a:extLst>
          </xdr:cNvPr>
          <xdr:cNvSpPr txBox="1"/>
        </xdr:nvSpPr>
        <xdr:spPr>
          <a:xfrm>
            <a:off x="4137353" y="1160547"/>
            <a:ext cx="428341" cy="2556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11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93197C0-742B-4FAA-9CCF-06BDF21DF6A0}"/>
              </a:ext>
            </a:extLst>
          </xdr:cNvPr>
          <xdr:cNvSpPr txBox="1"/>
        </xdr:nvSpPr>
        <xdr:spPr>
          <a:xfrm>
            <a:off x="7192379" y="722674"/>
            <a:ext cx="1340933" cy="3297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Total Clicks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4BB80B45-1038-4A3A-A5B3-E7ACB13F9EE2}"/>
              </a:ext>
            </a:extLst>
          </xdr:cNvPr>
          <xdr:cNvSpPr txBox="1"/>
        </xdr:nvSpPr>
        <xdr:spPr>
          <a:xfrm>
            <a:off x="7355674" y="1119106"/>
            <a:ext cx="827842" cy="283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12,025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77B7250-0AEA-4A66-9CB8-BEB05F1BA8E7}"/>
              </a:ext>
            </a:extLst>
          </xdr:cNvPr>
          <xdr:cNvSpPr txBox="1"/>
        </xdr:nvSpPr>
        <xdr:spPr>
          <a:xfrm>
            <a:off x="10483919" y="744237"/>
            <a:ext cx="1340933" cy="3297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Average CPC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6C602B4A-A61F-4A15-8605-A20F50A367EA}"/>
              </a:ext>
            </a:extLst>
          </xdr:cNvPr>
          <xdr:cNvSpPr txBox="1"/>
        </xdr:nvSpPr>
        <xdr:spPr>
          <a:xfrm>
            <a:off x="10654313" y="1122287"/>
            <a:ext cx="834497" cy="283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$ 3.06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EFFD220-4910-4722-9E17-5F2CCABE7C05}"/>
              </a:ext>
            </a:extLst>
          </xdr:cNvPr>
          <xdr:cNvSpPr txBox="1"/>
        </xdr:nvSpPr>
        <xdr:spPr>
          <a:xfrm>
            <a:off x="13776655" y="748832"/>
            <a:ext cx="1340933" cy="3297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Average</a:t>
            </a:r>
            <a:r>
              <a:rPr lang="en-US" sz="1400" b="1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CTR %</a:t>
            </a:r>
            <a:endParaRPr lang="en-US" sz="14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99BDB3E-C08D-4F55-BFC8-9213DC0D7C35}"/>
              </a:ext>
            </a:extLst>
          </xdr:cNvPr>
          <xdr:cNvSpPr txBox="1"/>
        </xdr:nvSpPr>
        <xdr:spPr>
          <a:xfrm>
            <a:off x="14235761" y="1142966"/>
            <a:ext cx="576989" cy="283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5%</a:t>
            </a:r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D6F9905E-48DC-2779-99A9-CB9B5BBE6C79}"/>
              </a:ext>
            </a:extLst>
          </xdr:cNvPr>
          <xdr:cNvSpPr/>
        </xdr:nvSpPr>
        <xdr:spPr>
          <a:xfrm>
            <a:off x="3662316" y="1594260"/>
            <a:ext cx="5887797" cy="3339534"/>
          </a:xfrm>
          <a:prstGeom prst="roundRect">
            <a:avLst>
              <a:gd name="adj" fmla="val 6101"/>
            </a:avLst>
          </a:prstGeom>
          <a:solidFill>
            <a:srgbClr val="EDEDF4"/>
          </a:solidFill>
          <a:ln>
            <a:noFill/>
          </a:ln>
          <a:effectLst>
            <a:outerShdw blurRad="50800" dist="38100" dir="5400000" algn="t" rotWithShape="0">
              <a:srgbClr val="FF6D6D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3A49BF92-3E35-432E-8229-B29CECA10141}"/>
              </a:ext>
            </a:extLst>
          </xdr:cNvPr>
          <xdr:cNvSpPr/>
        </xdr:nvSpPr>
        <xdr:spPr>
          <a:xfrm>
            <a:off x="10196348" y="1626537"/>
            <a:ext cx="5887797" cy="3339534"/>
          </a:xfrm>
          <a:prstGeom prst="roundRect">
            <a:avLst>
              <a:gd name="adj" fmla="val 6101"/>
            </a:avLst>
          </a:prstGeom>
          <a:solidFill>
            <a:srgbClr val="EDEDF4"/>
          </a:solidFill>
          <a:ln>
            <a:noFill/>
          </a:ln>
          <a:effectLst>
            <a:outerShdw blurRad="50800" dist="38100" dir="5400000" algn="t" rotWithShape="0">
              <a:srgbClr val="FF6D6D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2E886261-91C7-48A4-BDCF-34A1983558B4}"/>
              </a:ext>
            </a:extLst>
          </xdr:cNvPr>
          <xdr:cNvSpPr/>
        </xdr:nvSpPr>
        <xdr:spPr>
          <a:xfrm>
            <a:off x="3561733" y="5097531"/>
            <a:ext cx="5881141" cy="3336623"/>
          </a:xfrm>
          <a:prstGeom prst="roundRect">
            <a:avLst>
              <a:gd name="adj" fmla="val 6101"/>
            </a:avLst>
          </a:prstGeom>
          <a:solidFill>
            <a:srgbClr val="EDEDF4"/>
          </a:solidFill>
          <a:ln>
            <a:noFill/>
          </a:ln>
          <a:effectLst>
            <a:outerShdw blurRad="50800" dist="38100" dir="5400000" algn="t" rotWithShape="0">
              <a:srgbClr val="FF6D6D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375C1BC3-7BC7-419E-A7A6-C35310EC4009}"/>
              </a:ext>
            </a:extLst>
          </xdr:cNvPr>
          <xdr:cNvSpPr/>
        </xdr:nvSpPr>
        <xdr:spPr>
          <a:xfrm>
            <a:off x="10253012" y="5126060"/>
            <a:ext cx="5887797" cy="3336623"/>
          </a:xfrm>
          <a:prstGeom prst="roundRect">
            <a:avLst>
              <a:gd name="adj" fmla="val 6101"/>
            </a:avLst>
          </a:prstGeom>
          <a:solidFill>
            <a:srgbClr val="EDEDF4"/>
          </a:solidFill>
          <a:ln>
            <a:noFill/>
          </a:ln>
          <a:effectLst>
            <a:outerShdw blurRad="50800" dist="38100" dir="5400000" algn="t" rotWithShape="0">
              <a:srgbClr val="FF6D6D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7" name="Chart 36">
            <a:extLst>
              <a:ext uri="{FF2B5EF4-FFF2-40B4-BE49-F238E27FC236}">
                <a16:creationId xmlns:a16="http://schemas.microsoft.com/office/drawing/2014/main" id="{B09DFD67-316C-4F3D-951A-F0E60DA669B0}"/>
              </a:ext>
            </a:extLst>
          </xdr:cNvPr>
          <xdr:cNvGraphicFramePr>
            <a:graphicFrameLocks/>
          </xdr:cNvGraphicFramePr>
        </xdr:nvGraphicFramePr>
        <xdr:xfrm>
          <a:off x="3700034" y="2060732"/>
          <a:ext cx="5742839" cy="27959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390ED054-EB0E-4C3B-ACA9-B2F60E1F0F1A}"/>
              </a:ext>
            </a:extLst>
          </xdr:cNvPr>
          <xdr:cNvSpPr txBox="1"/>
        </xdr:nvSpPr>
        <xdr:spPr>
          <a:xfrm>
            <a:off x="4152606" y="1731490"/>
            <a:ext cx="2497614" cy="316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Audience by Performance</a:t>
            </a:r>
          </a:p>
          <a:p>
            <a:endParaRPr lang="en-US" sz="2000" b="1">
              <a:solidFill>
                <a:srgbClr val="C0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38AA97BA-0286-4CBA-9D73-A0CD44453F6D}"/>
              </a:ext>
            </a:extLst>
          </xdr:cNvPr>
          <xdr:cNvGraphicFramePr>
            <a:graphicFrameLocks/>
          </xdr:cNvGraphicFramePr>
        </xdr:nvGraphicFramePr>
        <xdr:xfrm>
          <a:off x="10246639" y="2093010"/>
          <a:ext cx="5787214" cy="28483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C018D809-7A3E-49E1-A2AB-CD36A0A39635}"/>
              </a:ext>
            </a:extLst>
          </xdr:cNvPr>
          <xdr:cNvSpPr txBox="1"/>
        </xdr:nvSpPr>
        <xdr:spPr>
          <a:xfrm>
            <a:off x="10535763" y="1776139"/>
            <a:ext cx="2648489" cy="316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Campaign</a:t>
            </a:r>
            <a:r>
              <a:rPr lang="en-US" sz="1600" b="1" baseline="0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 </a:t>
            </a:r>
            <a:r>
              <a:rPr lang="en-US" sz="1600" b="1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by Performance</a:t>
            </a:r>
          </a:p>
          <a:p>
            <a:endParaRPr lang="en-US" sz="2000" b="1">
              <a:solidFill>
                <a:srgbClr val="C0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graphicFrame macro="">
        <xdr:nvGraphicFramePr>
          <xdr:cNvPr id="42" name="Chart 41">
            <a:extLst>
              <a:ext uri="{FF2B5EF4-FFF2-40B4-BE49-F238E27FC236}">
                <a16:creationId xmlns:a16="http://schemas.microsoft.com/office/drawing/2014/main" id="{BFF16A4F-1F66-4B22-91A4-DA6900310C90}"/>
              </a:ext>
            </a:extLst>
          </xdr:cNvPr>
          <xdr:cNvGraphicFramePr>
            <a:graphicFrameLocks/>
          </xdr:cNvGraphicFramePr>
        </xdr:nvGraphicFramePr>
        <xdr:xfrm>
          <a:off x="3696702" y="5610978"/>
          <a:ext cx="5767985" cy="27340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D859C1F-9226-4858-8CDE-83F75992E095}"/>
              </a:ext>
            </a:extLst>
          </xdr:cNvPr>
          <xdr:cNvSpPr txBox="1"/>
        </xdr:nvSpPr>
        <xdr:spPr>
          <a:xfrm>
            <a:off x="4136701" y="5212346"/>
            <a:ext cx="2623342" cy="316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Age Group by Engagement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 b="1">
              <a:solidFill>
                <a:srgbClr val="C00000"/>
              </a:solidFill>
            </a:endParaRPr>
          </a:p>
          <a:p>
            <a:endParaRPr lang="en-US" sz="2000" b="1">
              <a:solidFill>
                <a:srgbClr val="C0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graphicFrame macro="">
        <xdr:nvGraphicFramePr>
          <xdr:cNvPr id="47" name="Chart 46">
            <a:extLst>
              <a:ext uri="{FF2B5EF4-FFF2-40B4-BE49-F238E27FC236}">
                <a16:creationId xmlns:a16="http://schemas.microsoft.com/office/drawing/2014/main" id="{6DA69869-9504-4EE3-8DAF-9AF4A5454F34}"/>
              </a:ext>
            </a:extLst>
          </xdr:cNvPr>
          <xdr:cNvGraphicFramePr>
            <a:graphicFrameLocks/>
          </xdr:cNvGraphicFramePr>
        </xdr:nvGraphicFramePr>
        <xdr:xfrm>
          <a:off x="10383832" y="5892648"/>
          <a:ext cx="5771500" cy="2558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017B231-971A-49DA-A55D-8E3F426450F4}"/>
              </a:ext>
            </a:extLst>
          </xdr:cNvPr>
          <xdr:cNvSpPr txBox="1"/>
        </xdr:nvSpPr>
        <xdr:spPr>
          <a:xfrm>
            <a:off x="10788410" y="5290391"/>
            <a:ext cx="2623342" cy="316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C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Geography Spend Analysis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600" b="1">
              <a:solidFill>
                <a:srgbClr val="C00000"/>
              </a:solidFill>
            </a:endParaRPr>
          </a:p>
          <a:p>
            <a:endParaRPr lang="en-US" sz="2000" b="1">
              <a:solidFill>
                <a:srgbClr val="C0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B6DEBDA2-543F-4FD5-5A05-CA9EC37BB3CA}"/>
              </a:ext>
            </a:extLst>
          </xdr:cNvPr>
          <xdr:cNvSpPr/>
        </xdr:nvSpPr>
        <xdr:spPr>
          <a:xfrm>
            <a:off x="1726405" y="2440785"/>
            <a:ext cx="1488283" cy="4643433"/>
          </a:xfrm>
          <a:prstGeom prst="roundRect">
            <a:avLst>
              <a:gd name="adj" fmla="val 30537"/>
            </a:avLst>
          </a:prstGeom>
          <a:gradFill>
            <a:gsLst>
              <a:gs pos="0">
                <a:schemeClr val="accent2">
                  <a:lumMod val="20000"/>
                  <a:lumOff val="80000"/>
                </a:schemeClr>
              </a:gs>
              <a:gs pos="100000">
                <a:schemeClr val="accent2">
                  <a:lumMod val="75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5400000" algn="t" rotWithShape="0">
              <a:schemeClr val="accent2">
                <a:lumMod val="60000"/>
                <a:lumOff val="40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6" name="Picture 5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AD72290-2905-E804-F123-8CAF81A76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38945" y="5789416"/>
            <a:ext cx="814472" cy="814472"/>
          </a:xfrm>
          <a:prstGeom prst="rect">
            <a:avLst/>
          </a:prstGeom>
        </xdr:spPr>
      </xdr:pic>
      <xdr:pic>
        <xdr:nvPicPr>
          <xdr:cNvPr id="58" name="Picture 5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93F54F9-6AF2-573E-703B-C647DFEADE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9276" y="4316113"/>
            <a:ext cx="814256" cy="814256"/>
          </a:xfrm>
          <a:prstGeom prst="rect">
            <a:avLst/>
          </a:prstGeom>
        </xdr:spPr>
      </xdr:pic>
      <xdr:pic>
        <xdr:nvPicPr>
          <xdr:cNvPr id="60" name="Picture 59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E27F248E-145A-5146-73D3-96930BDFE6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71054" y="2904493"/>
            <a:ext cx="814472" cy="814472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ilerin Asipita" refreshedDate="45776.458970254629" createdVersion="8" refreshedVersion="8" minRefreshableVersion="3" recordCount="33" xr:uid="{66B16BCB-ABD1-4EAA-A47D-8C0E0891F9A2}">
  <cacheSource type="worksheet">
    <worksheetSource name="Table1"/>
  </cacheSource>
  <cacheFields count="16">
    <cacheField name="Campaign ID" numFmtId="0">
      <sharedItems count="11">
        <s v="Campaign 1"/>
        <s v="Campaign 2"/>
        <s v="Campaign 3"/>
        <s v="Campaign 4"/>
        <s v="Campaign 5"/>
        <s v="Campaign 6"/>
        <s v="Campaign 7"/>
        <s v="Campaign 8"/>
        <s v="Campaign 9"/>
        <s v="Campaign 10"/>
        <s v="Campaign 11"/>
      </sharedItems>
    </cacheField>
    <cacheField name="Campaign Name" numFmtId="0">
      <sharedItems count="11">
        <s v="SHU_6 (Educators and Principals)"/>
        <s v="SHU3_ (Students Apart from India and US)"/>
        <s v="SHU_Students(Australia)"/>
        <s v="SHU_Students (Canada)"/>
        <s v="SHU_Students(Ghana)"/>
        <s v="SHU_Students (India)"/>
        <s v="SHU_Students(Nepal)"/>
        <s v="SHU_Students (Nigeria)"/>
        <s v="SHU_Students(UAE)"/>
        <s v="SHU_Students(UK)"/>
        <s v="SHU_Students (USA)"/>
      </sharedItems>
    </cacheField>
    <cacheField name="Audience" numFmtId="0">
      <sharedItems count="2">
        <s v="Educators and Principals"/>
        <s v="Students"/>
      </sharedItems>
    </cacheField>
    <cacheField name="Age" numFmtId="0">
      <sharedItems count="6">
        <s v="25-34"/>
        <s v="35-44"/>
        <s v="45-54"/>
        <s v="55-64"/>
        <s v="18-24"/>
        <s v="13-17"/>
      </sharedItems>
    </cacheField>
    <cacheField name="Geography" numFmtId="0">
      <sharedItems count="11">
        <s v="Group 1 (Australia, Canada, United Kingdom, Ghana, Nigeria, Pakistan, United States)"/>
        <s v="Group 2 (Australia, Canada, United Kingdom, Ghana, Niger, Nigeria, Nepal, Pakistan, Thailand, Taiwan)"/>
        <s v="Australia"/>
        <s v="Canada"/>
        <s v="Ghana"/>
        <s v="India"/>
        <s v="Nepal"/>
        <s v="Nigeria"/>
        <s v="UAE"/>
        <s v="UK"/>
        <s v="USA"/>
      </sharedItems>
    </cacheField>
    <cacheField name="Reach" numFmtId="1">
      <sharedItems containsSemiMixedTypes="0" containsString="0" containsNumber="1" containsInteger="1" minValue="91" maxValue="30110"/>
    </cacheField>
    <cacheField name="Impressions" numFmtId="1">
      <sharedItems containsSemiMixedTypes="0" containsString="0" containsNumber="1" containsInteger="1" minValue="103" maxValue="39161"/>
    </cacheField>
    <cacheField name="Frequency" numFmtId="2">
      <sharedItems containsSemiMixedTypes="0" containsString="0" containsNumber="1" minValue="1.042613636" maxValue="3.1690805530000001"/>
    </cacheField>
    <cacheField name="Clicks" numFmtId="1">
      <sharedItems containsSemiMixedTypes="0" containsString="0" containsNumber="1" containsInteger="1" minValue="9" maxValue="2593"/>
    </cacheField>
    <cacheField name="Unique Clicks" numFmtId="1">
      <sharedItems containsSemiMixedTypes="0" containsString="0" containsNumber="1" containsInteger="1" minValue="8" maxValue="1994"/>
    </cacheField>
    <cacheField name="Unique Link Clicks (ULC)" numFmtId="1">
      <sharedItems containsSemiMixedTypes="0" containsString="0" containsNumber="1" containsInteger="1" minValue="3" maxValue="1095"/>
    </cacheField>
    <cacheField name="Click-Through Rate (CTR in %)" numFmtId="2">
      <sharedItems containsSemiMixedTypes="0" containsString="0" containsNumber="1" minValue="1.6688918558077435" maxValue="12.951807228915662"/>
    </cacheField>
    <cacheField name="Unique Click-Through Rate (Unique CTR in %)" numFmtId="2">
      <sharedItems containsSemiMixedTypes="0" containsString="0" containsNumber="1" minValue="2.0265991099999998" maxValue="12.131147540000001"/>
    </cacheField>
    <cacheField name="Amount Spent" numFmtId="165">
      <sharedItems containsSemiMixedTypes="0" containsString="0" containsNumber="1" minValue="47.26" maxValue="1193.94"/>
    </cacheField>
    <cacheField name="Cost Per Click (CPC)" numFmtId="164">
      <sharedItems containsSemiMixedTypes="0" containsString="0" containsNumber="1" minValue="0.29093766999999998" maxValue="10.18469247"/>
    </cacheField>
    <cacheField name="Cost per Result (CPR)" numFmtId="164">
      <sharedItems containsSemiMixedTypes="0" containsString="0" containsNumber="1" minValue="0.69" maxValue="30.55"/>
    </cacheField>
  </cacheFields>
  <extLst>
    <ext xmlns:x14="http://schemas.microsoft.com/office/spreadsheetml/2009/9/main" uri="{725AE2AE-9491-48be-B2B4-4EB974FC3084}">
      <x14:pivotCacheDefinition pivotCacheId="593575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x v="0"/>
    <n v="11387"/>
    <n v="23283"/>
    <n v="2.0447000970000002"/>
    <n v="487"/>
    <n v="406"/>
    <n v="180"/>
    <n v="2.0916548554739509"/>
    <n v="3.5654693900000001"/>
    <n v="1092.24"/>
    <n v="2.2427900900000002"/>
    <n v="6.07"/>
  </r>
  <r>
    <x v="0"/>
    <x v="0"/>
    <x v="0"/>
    <x v="1"/>
    <x v="0"/>
    <n v="8761"/>
    <n v="15683"/>
    <n v="1.7900924549999999"/>
    <n v="484"/>
    <n v="376"/>
    <n v="154"/>
    <n v="3.0861442326085573"/>
    <n v="4.2917475200000004"/>
    <n v="835.46"/>
    <n v="1.7261653800000001"/>
    <n v="5.43"/>
  </r>
  <r>
    <x v="0"/>
    <x v="0"/>
    <x v="0"/>
    <x v="2"/>
    <x v="0"/>
    <n v="2867"/>
    <n v="6283"/>
    <n v="2.191489362"/>
    <n v="198"/>
    <n v="145"/>
    <n v="65"/>
    <n v="3.1513608148973424"/>
    <n v="5.0575514500000001"/>
    <n v="319.38"/>
    <n v="1.6130377300000001"/>
    <n v="4.91"/>
  </r>
  <r>
    <x v="0"/>
    <x v="0"/>
    <x v="0"/>
    <x v="3"/>
    <x v="0"/>
    <n v="889"/>
    <n v="1890"/>
    <n v="2.1259842519999999"/>
    <n v="49"/>
    <n v="40"/>
    <n v="21"/>
    <n v="2.5925925925925926"/>
    <n v="4.4994375700000004"/>
    <n v="86.25"/>
    <n v="1.76011659"/>
    <n v="4.1100000000000003"/>
  </r>
  <r>
    <x v="1"/>
    <x v="1"/>
    <x v="1"/>
    <x v="4"/>
    <x v="1"/>
    <n v="29675"/>
    <n v="39161"/>
    <n v="1.319663016"/>
    <n v="2593"/>
    <n v="1994"/>
    <n v="1095"/>
    <n v="6.6213835193176891"/>
    <n v="6.7194608300000001"/>
    <n v="1193.94"/>
    <n v="0.46044803000000001"/>
    <n v="1.0900000000000001"/>
  </r>
  <r>
    <x v="1"/>
    <x v="1"/>
    <x v="1"/>
    <x v="5"/>
    <x v="1"/>
    <n v="14753"/>
    <n v="25705"/>
    <n v="1.742357487"/>
    <n v="969"/>
    <n v="698"/>
    <n v="435"/>
    <n v="3.7696946119432013"/>
    <n v="4.7312411000000001"/>
    <n v="299.51"/>
    <n v="0.30908815000000001"/>
    <n v="0.69"/>
  </r>
  <r>
    <x v="1"/>
    <x v="1"/>
    <x v="1"/>
    <x v="0"/>
    <x v="1"/>
    <n v="2066"/>
    <n v="2447"/>
    <n v="1.184414327"/>
    <n v="181"/>
    <n v="141"/>
    <n v="65"/>
    <n v="7.3968124233755619"/>
    <n v="6.8247821899999987"/>
    <n v="85.57"/>
    <n v="0.47277255000000001"/>
    <n v="1.32"/>
  </r>
  <r>
    <x v="2"/>
    <x v="2"/>
    <x v="1"/>
    <x v="5"/>
    <x v="2"/>
    <n v="2271"/>
    <n v="2616"/>
    <n v="1.151915456"/>
    <n v="61"/>
    <n v="55"/>
    <n v="28"/>
    <n v="2.3318042813455659"/>
    <n v="2.4218405999999999"/>
    <n v="475.85"/>
    <n v="7.8007930099999996"/>
    <n v="16.989999999999998"/>
  </r>
  <r>
    <x v="2"/>
    <x v="2"/>
    <x v="1"/>
    <x v="4"/>
    <x v="2"/>
    <n v="704"/>
    <n v="734"/>
    <n v="1.042613636"/>
    <n v="49"/>
    <n v="46"/>
    <n v="13"/>
    <n v="6.6757493188010901"/>
    <n v="6.5340909099999998"/>
    <n v="283.17"/>
    <n v="5.7789672200000002"/>
    <n v="21.78"/>
  </r>
  <r>
    <x v="2"/>
    <x v="2"/>
    <x v="1"/>
    <x v="0"/>
    <x v="2"/>
    <n v="212"/>
    <n v="222"/>
    <n v="1.0471698110000001"/>
    <n v="9"/>
    <n v="8"/>
    <n v="3"/>
    <n v="4.0540540540540544"/>
    <n v="3.7735849099999994"/>
    <n v="91.66"/>
    <n v="10.18469247"/>
    <n v="30.55"/>
  </r>
  <r>
    <x v="3"/>
    <x v="3"/>
    <x v="1"/>
    <x v="5"/>
    <x v="3"/>
    <n v="2330"/>
    <n v="3146"/>
    <n v="1.3502145919999999"/>
    <n v="101"/>
    <n v="84"/>
    <n v="63"/>
    <n v="3.2104259376986648"/>
    <n v="3.6051502100000001"/>
    <n v="528.08000000000004"/>
    <n v="5.2284878700000004"/>
    <n v="8.3800000000000008"/>
  </r>
  <r>
    <x v="3"/>
    <x v="3"/>
    <x v="1"/>
    <x v="4"/>
    <x v="3"/>
    <n v="759"/>
    <n v="878"/>
    <n v="1.1567852439999999"/>
    <n v="52"/>
    <n v="44"/>
    <n v="34"/>
    <n v="5.9225512528473807"/>
    <n v="5.7971014500000004"/>
    <n v="294.82"/>
    <n v="5.6696015500000003"/>
    <n v="8.67"/>
  </r>
  <r>
    <x v="3"/>
    <x v="3"/>
    <x v="1"/>
    <x v="0"/>
    <x v="3"/>
    <n v="218"/>
    <n v="243"/>
    <n v="1.1146788990000001"/>
    <n v="18"/>
    <n v="18"/>
    <n v="15"/>
    <n v="7.4074074074074066"/>
    <n v="8.2568807300000007"/>
    <n v="101.06"/>
    <n v="5.6146358100000002"/>
    <n v="6.74"/>
  </r>
  <r>
    <x v="4"/>
    <x v="4"/>
    <x v="1"/>
    <x v="4"/>
    <x v="4"/>
    <n v="5952"/>
    <n v="6943"/>
    <n v="1.1664986559999999"/>
    <n v="284"/>
    <n v="238"/>
    <n v="98"/>
    <n v="4.0904508137692641"/>
    <n v="3.9986559100000001"/>
    <n v="378.1"/>
    <n v="1.33135077"/>
    <n v="3.86"/>
  </r>
  <r>
    <x v="4"/>
    <x v="4"/>
    <x v="1"/>
    <x v="0"/>
    <x v="4"/>
    <n v="3717"/>
    <n v="4620"/>
    <n v="1.2429378529999999"/>
    <n v="184"/>
    <n v="160"/>
    <n v="46"/>
    <n v="3.9826839826839828"/>
    <n v="4.3045466799999996"/>
    <n v="282.22000000000003"/>
    <n v="1.5337844199999999"/>
    <n v="6.14"/>
  </r>
  <r>
    <x v="4"/>
    <x v="4"/>
    <x v="1"/>
    <x v="5"/>
    <x v="4"/>
    <n v="5355"/>
    <n v="8920"/>
    <n v="1.6657329599999999"/>
    <n v="180"/>
    <n v="154"/>
    <n v="93"/>
    <n v="2.0179372197309418"/>
    <n v="2.8758169900000001"/>
    <n v="177.46"/>
    <n v="0.98588916000000004"/>
    <n v="1.91"/>
  </r>
  <r>
    <x v="5"/>
    <x v="5"/>
    <x v="1"/>
    <x v="4"/>
    <x v="5"/>
    <n v="30110"/>
    <n v="35372"/>
    <n v="1.174759216"/>
    <n v="1308"/>
    <n v="1162"/>
    <n v="934"/>
    <n v="3.6978400995137397"/>
    <n v="3.8591830000000003"/>
    <n v="894"/>
    <n v="0.68348251999999998"/>
    <n v="0.96"/>
  </r>
  <r>
    <x v="5"/>
    <x v="5"/>
    <x v="1"/>
    <x v="0"/>
    <x v="5"/>
    <n v="1721"/>
    <n v="1874"/>
    <n v="1.088901801"/>
    <n v="92"/>
    <n v="76"/>
    <n v="53"/>
    <n v="4.909284951974386"/>
    <n v="4.4160371899999999"/>
    <n v="61.21"/>
    <n v="0.66537891000000005"/>
    <n v="1.1499999999999999"/>
  </r>
  <r>
    <x v="6"/>
    <x v="6"/>
    <x v="1"/>
    <x v="4"/>
    <x v="6"/>
    <n v="18900"/>
    <n v="36659"/>
    <n v="1.93962963"/>
    <n v="849"/>
    <n v="688"/>
    <n v="306"/>
    <n v="2.3159387872009605"/>
    <n v="3.6402116399999995"/>
    <n v="634.64"/>
    <n v="0.74751528"/>
    <n v="2.0699999999999998"/>
  </r>
  <r>
    <x v="6"/>
    <x v="6"/>
    <x v="1"/>
    <x v="5"/>
    <x v="6"/>
    <n v="6145"/>
    <n v="19474"/>
    <n v="3.1690805530000001"/>
    <n v="325"/>
    <n v="246"/>
    <n v="129"/>
    <n v="1.6688918558077435"/>
    <n v="4.0032546800000004"/>
    <n v="211.76"/>
    <n v="0.65156015"/>
    <n v="1.64"/>
  </r>
  <r>
    <x v="6"/>
    <x v="6"/>
    <x v="1"/>
    <x v="0"/>
    <x v="6"/>
    <n v="4623"/>
    <n v="9082"/>
    <n v="1.9645252"/>
    <n v="246"/>
    <n v="212"/>
    <n v="83"/>
    <n v="2.7086544813917639"/>
    <n v="4.5857668199999999"/>
    <n v="188.84"/>
    <n v="0.76765236000000003"/>
    <n v="2.2799999999999998"/>
  </r>
  <r>
    <x v="7"/>
    <x v="7"/>
    <x v="1"/>
    <x v="4"/>
    <x v="7"/>
    <n v="11027"/>
    <n v="13820"/>
    <n v="1.253287386"/>
    <n v="1491"/>
    <n v="1132"/>
    <n v="548"/>
    <n v="10.788712011577424"/>
    <n v="10.26571144"/>
    <n v="542.66999999999996"/>
    <n v="0.36396574999999998"/>
    <n v="0.99"/>
  </r>
  <r>
    <x v="7"/>
    <x v="7"/>
    <x v="1"/>
    <x v="5"/>
    <x v="7"/>
    <n v="8516"/>
    <n v="12372"/>
    <n v="1.452794739"/>
    <n v="970"/>
    <n v="696"/>
    <n v="408"/>
    <n v="7.8402845134173935"/>
    <n v="8.1728511000000008"/>
    <n v="282.20999999999998"/>
    <n v="0.29093766999999998"/>
    <n v="0.69"/>
  </r>
  <r>
    <x v="7"/>
    <x v="7"/>
    <x v="1"/>
    <x v="0"/>
    <x v="7"/>
    <n v="2386"/>
    <n v="2782"/>
    <n v="1.1659681479999999"/>
    <n v="304"/>
    <n v="230"/>
    <n v="117"/>
    <n v="10.927390366642703"/>
    <n v="9.6395641199999993"/>
    <n v="117.9"/>
    <n v="0.38782084999999999"/>
    <n v="1.01"/>
  </r>
  <r>
    <x v="8"/>
    <x v="8"/>
    <x v="1"/>
    <x v="0"/>
    <x v="8"/>
    <n v="2892"/>
    <n v="3347"/>
    <n v="1.157330567"/>
    <n v="135"/>
    <n v="102"/>
    <n v="41"/>
    <n v="4.0334628025097103"/>
    <n v="3.5269709499999995"/>
    <n v="455.49"/>
    <n v="3.3739992999999999"/>
    <n v="11.11"/>
  </r>
  <r>
    <x v="8"/>
    <x v="8"/>
    <x v="1"/>
    <x v="4"/>
    <x v="8"/>
    <n v="2862"/>
    <n v="3234"/>
    <n v="1.1299790359999999"/>
    <n v="72"/>
    <n v="60"/>
    <n v="27"/>
    <n v="2.2263450834879404"/>
    <n v="2.0964360599999998"/>
    <n v="316.14"/>
    <n v="4.3908387800000002"/>
    <n v="11.71"/>
  </r>
  <r>
    <x v="8"/>
    <x v="8"/>
    <x v="1"/>
    <x v="5"/>
    <x v="8"/>
    <n v="1579"/>
    <n v="2079"/>
    <n v="1.3166561109999999"/>
    <n v="35"/>
    <n v="32"/>
    <n v="20"/>
    <n v="1.6835016835016834"/>
    <n v="2.0265991099999998"/>
    <n v="104.63"/>
    <n v="2.98942007"/>
    <n v="5.23"/>
  </r>
  <r>
    <x v="9"/>
    <x v="9"/>
    <x v="1"/>
    <x v="5"/>
    <x v="9"/>
    <n v="2557"/>
    <n v="2941"/>
    <n v="1.1501759869999999"/>
    <n v="69"/>
    <n v="60"/>
    <n v="33"/>
    <n v="2.3461407684461069"/>
    <n v="2.3464998000000001"/>
    <n v="487.52"/>
    <n v="7.0655072499999996"/>
    <n v="14.77"/>
  </r>
  <r>
    <x v="9"/>
    <x v="9"/>
    <x v="1"/>
    <x v="4"/>
    <x v="9"/>
    <n v="741"/>
    <n v="785"/>
    <n v="1.059379217"/>
    <n v="39"/>
    <n v="34"/>
    <n v="20"/>
    <n v="4.9681528662420389"/>
    <n v="4.5883940599999997"/>
    <n v="255.57"/>
    <n v="6.5530769199999996"/>
    <n v="12.78"/>
  </r>
  <r>
    <x v="9"/>
    <x v="9"/>
    <x v="1"/>
    <x v="0"/>
    <x v="9"/>
    <n v="338"/>
    <n v="365"/>
    <n v="1.0798816570000001"/>
    <n v="13"/>
    <n v="11"/>
    <n v="4"/>
    <n v="3.5616438356164384"/>
    <n v="3.2544378700000003"/>
    <n v="113.58"/>
    <n v="8.7369230800000004"/>
    <n v="28.4"/>
  </r>
  <r>
    <x v="10"/>
    <x v="10"/>
    <x v="1"/>
    <x v="5"/>
    <x v="10"/>
    <n v="2159"/>
    <n v="2465"/>
    <n v="1.1417322830000001"/>
    <n v="126"/>
    <n v="111"/>
    <n v="95"/>
    <n v="5.1115618661257605"/>
    <n v="5.1412691099999996"/>
    <n v="691.28"/>
    <n v="5.4863581899999998"/>
    <n v="7.28"/>
  </r>
  <r>
    <x v="10"/>
    <x v="10"/>
    <x v="1"/>
    <x v="4"/>
    <x v="10"/>
    <n v="305"/>
    <n v="332"/>
    <n v="1.08852459"/>
    <n v="43"/>
    <n v="37"/>
    <n v="28"/>
    <n v="12.951807228915662"/>
    <n v="12.131147540000001"/>
    <n v="159.13999999999999"/>
    <n v="3.7008425200000001"/>
    <n v="5.68"/>
  </r>
  <r>
    <x v="10"/>
    <x v="10"/>
    <x v="1"/>
    <x v="0"/>
    <x v="10"/>
    <n v="91"/>
    <n v="103"/>
    <n v="1.1318681319999999"/>
    <n v="9"/>
    <n v="8"/>
    <n v="3"/>
    <n v="8.7378640776699026"/>
    <n v="8.7912087900000007"/>
    <n v="47.26"/>
    <n v="5.2514043800000003"/>
    <n v="1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C3E0F-EA72-44A5-BD51-B22BE9DEAA23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A47:A48" firstHeaderRow="1" firstDataRow="1" firstDataCol="0"/>
  <pivotFields count="16">
    <pivotField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dataField="1" numFmtId="2" showAll="0"/>
    <pivotField numFmtId="2" showAll="0"/>
    <pivotField numFmtId="165" showAll="0"/>
    <pivotField numFmtId="164" showAll="0"/>
    <pivotField numFmtId="164" showAll="0"/>
  </pivotFields>
  <rowItems count="1">
    <i/>
  </rowItems>
  <colItems count="1">
    <i/>
  </colItems>
  <dataFields count="1">
    <dataField name="Average of Click-Through Rate (CTR in %)" fld="1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2A381-1A3A-43ED-9FAD-9806406A4E01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A42:A43" firstHeaderRow="1" firstDataRow="1" firstDataCol="0"/>
  <pivotFields count="16">
    <pivotField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1" showAll="0"/>
    <pivotField numFmtId="1" showAll="0"/>
    <pivotField numFmtId="1" showAll="0"/>
    <pivotField numFmtId="2" showAll="0"/>
    <pivotField numFmtId="2" showAll="0"/>
    <pivotField numFmtId="165" showAll="0"/>
    <pivotField numFmtId="164" showAll="0"/>
    <pivotField numFmtId="164" showAll="0"/>
  </pivotFields>
  <rowItems count="1">
    <i/>
  </rowItems>
  <colItems count="1">
    <i/>
  </colItems>
  <dataFields count="1">
    <dataField name="Total Clicks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28D25-C14F-4292-A544-697E0FF61E9F}" name="Geography performna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ography">
  <location ref="G27:I39" firstHeaderRow="0" firstDataRow="1" firstDataCol="1"/>
  <pivotFields count="16">
    <pivotField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2">
        <item x="0"/>
        <item x="3"/>
        <item x="5"/>
        <item x="7"/>
        <item x="10"/>
        <item x="2"/>
        <item x="4"/>
        <item x="6"/>
        <item x="8"/>
        <item x="9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5"/>
        <item x="4"/>
        <item x="0"/>
        <item x="1"/>
        <item x="2"/>
        <item x="3"/>
        <item t="default"/>
      </items>
    </pivotField>
    <pivotField axis="axisRow"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numFmtId="1" showAll="0"/>
    <pivotField numFmtId="2" showAll="0"/>
    <pivotField dataField="1" numFmtId="1" showAll="0"/>
    <pivotField numFmtId="1" showAll="0"/>
    <pivotField numFmtId="1" showAll="0"/>
    <pivotField numFmtId="2" showAll="0"/>
    <pivotField numFmtId="2" showAll="0"/>
    <pivotField dataField="1" numFmtId="165" showAll="0"/>
    <pivotField numFmtId="164" showAll="0"/>
    <pivotField numFmtId="164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 Clicks" fld="8" baseField="0" baseItem="0" numFmtId="1"/>
    <dataField name="Sum of Amount Spent" fld="13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5E7AA-0A28-4530-BDAA-DE44786C6A2E}" name="Age group performna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ge">
  <location ref="H15:J22" firstHeaderRow="0" firstDataRow="1" firstDataCol="1"/>
  <pivotFields count="16">
    <pivotField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7">
        <item x="5"/>
        <item x="4"/>
        <item x="0"/>
        <item x="1"/>
        <item x="2"/>
        <item x="3"/>
        <item t="default"/>
      </items>
    </pivotField>
    <pivotField showAll="0"/>
    <pivotField numFmtId="1" showAll="0"/>
    <pivotField numFmtId="1" showAll="0"/>
    <pivotField numFmtId="2" showAll="0"/>
    <pivotField dataField="1" numFmtId="1" showAll="0"/>
    <pivotField dataField="1" numFmtId="1" showAll="0"/>
    <pivotField numFmtId="1" showAll="0"/>
    <pivotField numFmtId="2" showAll="0"/>
    <pivotField numFmtId="2" showAll="0"/>
    <pivotField numFmtId="165" showAll="0"/>
    <pivotField numFmtId="164" showAll="0"/>
    <pivotField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Clicks" fld="8" baseField="0" baseItem="0" numFmtId="1"/>
    <dataField name=" Unique Clicks" fld="9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C5F2E-4DAA-428F-BC35-071AF7162D08}" name="Audience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udience">
  <location ref="H3:K6" firstHeaderRow="0" firstDataRow="1" firstDataCol="1"/>
  <pivotFields count="16">
    <pivotField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1" showAll="0"/>
    <pivotField numFmtId="1" showAll="0"/>
    <pivotField numFmtId="1" showAll="0"/>
    <pivotField dataField="1" numFmtId="2" showAll="0"/>
    <pivotField numFmtId="2" showAll="0"/>
    <pivotField dataField="1" numFmtId="165" showAll="0"/>
    <pivotField numFmtId="164" showAll="0"/>
    <pivotField numFmtId="164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cks" fld="8" baseField="0" baseItem="0" numFmtId="1"/>
    <dataField name="Average of Click-Through Rate (CTR in %)" fld="11" subtotal="average" baseField="2" baseItem="0" numFmtId="2"/>
    <dataField name="Sum of Amount Spent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FED8A-A547-4A32-84A2-170B8D167535}" name="Campaign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A3:D15" firstHeaderRow="0" firstDataRow="1" firstDataCol="1"/>
  <pivotFields count="16">
    <pivotField axis="axisRow"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1" showAll="0"/>
    <pivotField numFmtId="1" showAll="0"/>
    <pivotField numFmtId="1" showAll="0"/>
    <pivotField dataField="1" numFmtId="2" showAll="0"/>
    <pivotField numFmtId="2" showAll="0"/>
    <pivotField dataField="1" numFmtId="165" showAll="0"/>
    <pivotField numFmtId="164" showAll="0"/>
    <pivotField numFmtId="16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cks" fld="8" baseField="0" baseItem="0" numFmtId="1"/>
    <dataField name="Average of Click-Through Rate (CTR in %)" fld="11" subtotal="average" baseField="0" baseItem="0" numFmtId="2"/>
    <dataField name="Sum of Amount Spent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3FE7D-34F1-481C-9715-0448F04F2996}" name="Table1" displayName="Table1" ref="A1:P34" totalsRowShown="0" headerRowDxfId="17" dataDxfId="16">
  <autoFilter ref="A1:P34" xr:uid="{AED3FE7D-34F1-481C-9715-0448F04F2996}"/>
  <tableColumns count="16">
    <tableColumn id="1" xr3:uid="{9F849606-2ADF-47A6-9AC2-3D01DCE76BD0}" name="Campaign ID" dataDxfId="15"/>
    <tableColumn id="2" xr3:uid="{0226575C-6FB5-4645-8B2F-5B47E96F6662}" name="Campaign Name" dataDxfId="14"/>
    <tableColumn id="3" xr3:uid="{2C3348A9-EC6D-4972-9744-F081B6ED6109}" name="Audience" dataDxfId="13"/>
    <tableColumn id="4" xr3:uid="{53821A01-3FAD-4301-B9C6-6536224001B1}" name="Age" dataDxfId="12"/>
    <tableColumn id="5" xr3:uid="{C9CD85FE-5152-4933-8567-6B2EEAD1722F}" name="Geography" dataDxfId="11"/>
    <tableColumn id="6" xr3:uid="{BF5DDFA9-16DE-421B-AA5B-848094C98356}" name="Reach" dataDxfId="10"/>
    <tableColumn id="7" xr3:uid="{9B39CE62-B711-4E71-9538-CB5C3E620301}" name="Impressions" dataDxfId="9"/>
    <tableColumn id="8" xr3:uid="{4C923E92-30C6-4824-8153-1BF300118BEB}" name="Frequency" dataDxfId="8"/>
    <tableColumn id="9" xr3:uid="{9452EEF2-B3C1-457A-A735-A6E599236031}" name="Clicks" dataDxfId="7"/>
    <tableColumn id="10" xr3:uid="{67F66E57-24AE-477D-9E5D-62E790E43784}" name="Unique Clicks" dataDxfId="6"/>
    <tableColumn id="11" xr3:uid="{3DEBE420-37FA-4341-8059-74F85EEB16A7}" name="Unique Link Clicks (ULC)" dataDxfId="5"/>
    <tableColumn id="12" xr3:uid="{689BBFE1-4F62-4D57-AE7F-CDFFEFB5D482}" name="Click-Through Rate (CTR in %)" dataDxfId="4" dataCellStyle="Percent"/>
    <tableColumn id="13" xr3:uid="{89931320-784B-422A-AD6E-50F7BE819EE8}" name="Unique Click-Through Rate (Unique CTR in %)" dataDxfId="3"/>
    <tableColumn id="14" xr3:uid="{2B0BA477-5ED4-4D1D-AB42-D99D6177B78F}" name="Amount Spent" dataDxfId="2"/>
    <tableColumn id="15" xr3:uid="{93A65C06-DACF-4C46-8A19-4A6649A6F23C}" name="Cost Per Click (CPC)" dataDxfId="1"/>
    <tableColumn id="16" xr3:uid="{A0026165-AB4D-4F5D-994A-CA733EBE415B}" name="Cost per Result (CP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4"/>
  <sheetViews>
    <sheetView zoomScaleNormal="100" workbookViewId="0"/>
  </sheetViews>
  <sheetFormatPr defaultColWidth="12.5703125" defaultRowHeight="15.75" customHeight="1" x14ac:dyDescent="0.2"/>
  <cols>
    <col min="1" max="1" width="14.5703125" customWidth="1"/>
    <col min="2" max="2" width="37.140625" bestFit="1" customWidth="1"/>
    <col min="3" max="3" width="22.140625" bestFit="1" customWidth="1"/>
    <col min="4" max="4" width="6.7109375" customWidth="1"/>
    <col min="5" max="5" width="89" bestFit="1" customWidth="1"/>
    <col min="6" max="6" width="8.85546875" customWidth="1"/>
    <col min="7" max="7" width="13.85546875" customWidth="1"/>
    <col min="8" max="8" width="12.7109375" customWidth="1"/>
    <col min="9" max="9" width="8.42578125" customWidth="1"/>
    <col min="10" max="10" width="15.42578125" customWidth="1"/>
    <col min="11" max="11" width="25.28515625" customWidth="1"/>
    <col min="12" max="12" width="30.140625" customWidth="1"/>
    <col min="13" max="13" width="44.140625" customWidth="1"/>
    <col min="14" max="14" width="22" customWidth="1"/>
    <col min="15" max="15" width="21.28515625" customWidth="1"/>
    <col min="16" max="16" width="22.28515625" customWidth="1"/>
    <col min="17" max="17" width="19.5703125" customWidth="1"/>
  </cols>
  <sheetData>
    <row r="1" spans="1:18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1" t="s">
        <v>57</v>
      </c>
      <c r="O1" s="1" t="s">
        <v>12</v>
      </c>
      <c r="P1" s="1" t="s">
        <v>13</v>
      </c>
      <c r="Q1" s="1"/>
      <c r="R1" s="1"/>
    </row>
    <row r="2" spans="1:18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7">
        <v>11387</v>
      </c>
      <c r="G2" s="7">
        <v>23283</v>
      </c>
      <c r="H2" s="2">
        <v>2.0447000970000002</v>
      </c>
      <c r="I2" s="7">
        <v>487</v>
      </c>
      <c r="J2" s="7">
        <v>406</v>
      </c>
      <c r="K2" s="7">
        <v>180</v>
      </c>
      <c r="L2" s="8">
        <v>2.0916548554739509</v>
      </c>
      <c r="M2" s="2">
        <v>3.5654693900000001</v>
      </c>
      <c r="N2" s="6">
        <v>1092.24</v>
      </c>
      <c r="O2" s="5">
        <v>2.2427900900000002</v>
      </c>
      <c r="P2" s="5">
        <v>6.07</v>
      </c>
    </row>
    <row r="3" spans="1:18" x14ac:dyDescent="0.2">
      <c r="A3" s="1" t="s">
        <v>14</v>
      </c>
      <c r="B3" s="1" t="s">
        <v>15</v>
      </c>
      <c r="C3" s="1" t="s">
        <v>16</v>
      </c>
      <c r="D3" s="1" t="s">
        <v>19</v>
      </c>
      <c r="E3" s="1" t="s">
        <v>18</v>
      </c>
      <c r="F3" s="7">
        <v>8761</v>
      </c>
      <c r="G3" s="7">
        <v>15683</v>
      </c>
      <c r="H3" s="2">
        <v>1.7900924549999999</v>
      </c>
      <c r="I3" s="7">
        <v>484</v>
      </c>
      <c r="J3" s="7">
        <v>376</v>
      </c>
      <c r="K3" s="7">
        <v>154</v>
      </c>
      <c r="L3" s="8">
        <v>3.0861442326085573</v>
      </c>
      <c r="M3" s="2">
        <v>4.2917475200000004</v>
      </c>
      <c r="N3" s="6">
        <v>835.46</v>
      </c>
      <c r="O3" s="5">
        <v>1.7261653800000001</v>
      </c>
      <c r="P3" s="5">
        <v>5.43</v>
      </c>
    </row>
    <row r="4" spans="1:18" x14ac:dyDescent="0.2">
      <c r="A4" s="1" t="s">
        <v>14</v>
      </c>
      <c r="B4" s="1" t="s">
        <v>15</v>
      </c>
      <c r="C4" s="1" t="s">
        <v>16</v>
      </c>
      <c r="D4" s="1" t="s">
        <v>20</v>
      </c>
      <c r="E4" s="1" t="s">
        <v>18</v>
      </c>
      <c r="F4" s="7">
        <v>2867</v>
      </c>
      <c r="G4" s="7">
        <v>6283</v>
      </c>
      <c r="H4" s="2">
        <v>2.191489362</v>
      </c>
      <c r="I4" s="7">
        <v>198</v>
      </c>
      <c r="J4" s="7">
        <v>145</v>
      </c>
      <c r="K4" s="7">
        <v>65</v>
      </c>
      <c r="L4" s="8">
        <v>3.1513608148973424</v>
      </c>
      <c r="M4" s="2">
        <v>5.0575514500000001</v>
      </c>
      <c r="N4" s="6">
        <v>319.38</v>
      </c>
      <c r="O4" s="5">
        <v>1.6130377300000001</v>
      </c>
      <c r="P4" s="5">
        <v>4.91</v>
      </c>
    </row>
    <row r="5" spans="1:18" x14ac:dyDescent="0.2">
      <c r="A5" s="1" t="s">
        <v>14</v>
      </c>
      <c r="B5" s="1" t="s">
        <v>15</v>
      </c>
      <c r="C5" s="1" t="s">
        <v>16</v>
      </c>
      <c r="D5" s="1" t="s">
        <v>21</v>
      </c>
      <c r="E5" s="1" t="s">
        <v>18</v>
      </c>
      <c r="F5" s="7">
        <v>889</v>
      </c>
      <c r="G5" s="7">
        <v>1890</v>
      </c>
      <c r="H5" s="2">
        <v>2.1259842519999999</v>
      </c>
      <c r="I5" s="7">
        <v>49</v>
      </c>
      <c r="J5" s="7">
        <v>40</v>
      </c>
      <c r="K5" s="7">
        <v>21</v>
      </c>
      <c r="L5" s="8">
        <v>2.5925925925925926</v>
      </c>
      <c r="M5" s="2">
        <v>4.4994375700000004</v>
      </c>
      <c r="N5" s="6">
        <v>86.25</v>
      </c>
      <c r="O5" s="5">
        <v>1.76011659</v>
      </c>
      <c r="P5" s="5">
        <v>4.1100000000000003</v>
      </c>
    </row>
    <row r="6" spans="1:18" x14ac:dyDescent="0.2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7">
        <v>29675</v>
      </c>
      <c r="G6" s="7">
        <v>39161</v>
      </c>
      <c r="H6" s="2">
        <v>1.319663016</v>
      </c>
      <c r="I6" s="7">
        <v>2593</v>
      </c>
      <c r="J6" s="7">
        <v>1994</v>
      </c>
      <c r="K6" s="7">
        <v>1095</v>
      </c>
      <c r="L6" s="8">
        <v>6.6213835193176891</v>
      </c>
      <c r="M6" s="2">
        <v>6.7194608300000001</v>
      </c>
      <c r="N6" s="6">
        <v>1193.94</v>
      </c>
      <c r="O6" s="5">
        <v>0.46044803000000001</v>
      </c>
      <c r="P6" s="5">
        <v>1.0900000000000001</v>
      </c>
    </row>
    <row r="7" spans="1:18" x14ac:dyDescent="0.2">
      <c r="A7" s="1" t="s">
        <v>22</v>
      </c>
      <c r="B7" s="1" t="s">
        <v>23</v>
      </c>
      <c r="C7" s="1" t="s">
        <v>24</v>
      </c>
      <c r="D7" s="1" t="s">
        <v>27</v>
      </c>
      <c r="E7" s="1" t="s">
        <v>26</v>
      </c>
      <c r="F7" s="7">
        <v>14753</v>
      </c>
      <c r="G7" s="7">
        <v>25705</v>
      </c>
      <c r="H7" s="2">
        <v>1.742357487</v>
      </c>
      <c r="I7" s="7">
        <v>969</v>
      </c>
      <c r="J7" s="7">
        <v>698</v>
      </c>
      <c r="K7" s="7">
        <v>435</v>
      </c>
      <c r="L7" s="8">
        <v>3.7696946119432013</v>
      </c>
      <c r="M7" s="2">
        <v>4.7312411000000001</v>
      </c>
      <c r="N7" s="6">
        <v>299.51</v>
      </c>
      <c r="O7" s="5">
        <v>0.30908815000000001</v>
      </c>
      <c r="P7" s="5">
        <v>0.69</v>
      </c>
    </row>
    <row r="8" spans="1:18" x14ac:dyDescent="0.2">
      <c r="A8" s="1" t="s">
        <v>22</v>
      </c>
      <c r="B8" s="1" t="s">
        <v>23</v>
      </c>
      <c r="C8" s="1" t="s">
        <v>24</v>
      </c>
      <c r="D8" s="1" t="s">
        <v>17</v>
      </c>
      <c r="E8" s="1" t="s">
        <v>26</v>
      </c>
      <c r="F8" s="7">
        <v>2066</v>
      </c>
      <c r="G8" s="7">
        <v>2447</v>
      </c>
      <c r="H8" s="2">
        <v>1.184414327</v>
      </c>
      <c r="I8" s="7">
        <v>181</v>
      </c>
      <c r="J8" s="7">
        <v>141</v>
      </c>
      <c r="K8" s="7">
        <v>65</v>
      </c>
      <c r="L8" s="8">
        <v>7.3968124233755619</v>
      </c>
      <c r="M8" s="2">
        <v>6.8247821899999987</v>
      </c>
      <c r="N8" s="6">
        <v>85.57</v>
      </c>
      <c r="O8" s="5">
        <v>0.47277255000000001</v>
      </c>
      <c r="P8" s="5">
        <v>1.32</v>
      </c>
    </row>
    <row r="9" spans="1:18" x14ac:dyDescent="0.2">
      <c r="A9" s="1" t="s">
        <v>28</v>
      </c>
      <c r="B9" s="1" t="s">
        <v>29</v>
      </c>
      <c r="C9" s="1" t="s">
        <v>24</v>
      </c>
      <c r="D9" s="1" t="s">
        <v>27</v>
      </c>
      <c r="E9" s="1" t="s">
        <v>30</v>
      </c>
      <c r="F9" s="7">
        <v>2271</v>
      </c>
      <c r="G9" s="7">
        <v>2616</v>
      </c>
      <c r="H9" s="2">
        <v>1.151915456</v>
      </c>
      <c r="I9" s="7">
        <v>61</v>
      </c>
      <c r="J9" s="7">
        <v>55</v>
      </c>
      <c r="K9" s="7">
        <v>28</v>
      </c>
      <c r="L9" s="8">
        <v>2.3318042813455659</v>
      </c>
      <c r="M9" s="2">
        <v>2.4218405999999999</v>
      </c>
      <c r="N9" s="6">
        <v>475.85</v>
      </c>
      <c r="O9" s="5">
        <v>7.8007930099999996</v>
      </c>
      <c r="P9" s="5">
        <v>16.989999999999998</v>
      </c>
    </row>
    <row r="10" spans="1:18" x14ac:dyDescent="0.2">
      <c r="A10" s="1" t="s">
        <v>28</v>
      </c>
      <c r="B10" s="1" t="s">
        <v>29</v>
      </c>
      <c r="C10" s="1" t="s">
        <v>24</v>
      </c>
      <c r="D10" s="1" t="s">
        <v>25</v>
      </c>
      <c r="E10" s="1" t="s">
        <v>30</v>
      </c>
      <c r="F10" s="7">
        <v>704</v>
      </c>
      <c r="G10" s="7">
        <v>734</v>
      </c>
      <c r="H10" s="2">
        <v>1.042613636</v>
      </c>
      <c r="I10" s="7">
        <v>49</v>
      </c>
      <c r="J10" s="7">
        <v>46</v>
      </c>
      <c r="K10" s="7">
        <v>13</v>
      </c>
      <c r="L10" s="8">
        <v>6.6757493188010901</v>
      </c>
      <c r="M10" s="2">
        <v>6.5340909099999998</v>
      </c>
      <c r="N10" s="6">
        <v>283.17</v>
      </c>
      <c r="O10" s="5">
        <v>5.7789672200000002</v>
      </c>
      <c r="P10" s="5">
        <v>21.78</v>
      </c>
    </row>
    <row r="11" spans="1:18" x14ac:dyDescent="0.2">
      <c r="A11" s="1" t="s">
        <v>28</v>
      </c>
      <c r="B11" s="1" t="s">
        <v>29</v>
      </c>
      <c r="C11" s="1" t="s">
        <v>24</v>
      </c>
      <c r="D11" s="1" t="s">
        <v>17</v>
      </c>
      <c r="E11" s="1" t="s">
        <v>30</v>
      </c>
      <c r="F11" s="7">
        <v>212</v>
      </c>
      <c r="G11" s="7">
        <v>222</v>
      </c>
      <c r="H11" s="2">
        <v>1.0471698110000001</v>
      </c>
      <c r="I11" s="7">
        <v>9</v>
      </c>
      <c r="J11" s="7">
        <v>8</v>
      </c>
      <c r="K11" s="7">
        <v>3</v>
      </c>
      <c r="L11" s="8">
        <v>4.0540540540540544</v>
      </c>
      <c r="M11" s="2">
        <v>3.7735849099999994</v>
      </c>
      <c r="N11" s="6">
        <v>91.66</v>
      </c>
      <c r="O11" s="5">
        <v>10.18469247</v>
      </c>
      <c r="P11" s="5">
        <v>30.55</v>
      </c>
    </row>
    <row r="12" spans="1:18" x14ac:dyDescent="0.2">
      <c r="A12" s="1" t="s">
        <v>31</v>
      </c>
      <c r="B12" s="1" t="s">
        <v>32</v>
      </c>
      <c r="C12" s="1" t="s">
        <v>24</v>
      </c>
      <c r="D12" s="1" t="s">
        <v>27</v>
      </c>
      <c r="E12" s="1" t="s">
        <v>33</v>
      </c>
      <c r="F12" s="7">
        <v>2330</v>
      </c>
      <c r="G12" s="7">
        <v>3146</v>
      </c>
      <c r="H12" s="2">
        <v>1.3502145919999999</v>
      </c>
      <c r="I12" s="7">
        <v>101</v>
      </c>
      <c r="J12" s="7">
        <v>84</v>
      </c>
      <c r="K12" s="7">
        <v>63</v>
      </c>
      <c r="L12" s="8">
        <v>3.2104259376986648</v>
      </c>
      <c r="M12" s="2">
        <v>3.6051502100000001</v>
      </c>
      <c r="N12" s="6">
        <v>528.08000000000004</v>
      </c>
      <c r="O12" s="5">
        <v>5.2284878700000004</v>
      </c>
      <c r="P12" s="5">
        <v>8.3800000000000008</v>
      </c>
    </row>
    <row r="13" spans="1:18" x14ac:dyDescent="0.2">
      <c r="A13" s="1" t="s">
        <v>31</v>
      </c>
      <c r="B13" s="1" t="s">
        <v>32</v>
      </c>
      <c r="C13" s="1" t="s">
        <v>24</v>
      </c>
      <c r="D13" s="1" t="s">
        <v>25</v>
      </c>
      <c r="E13" s="1" t="s">
        <v>33</v>
      </c>
      <c r="F13" s="7">
        <v>759</v>
      </c>
      <c r="G13" s="7">
        <v>878</v>
      </c>
      <c r="H13" s="2">
        <v>1.1567852439999999</v>
      </c>
      <c r="I13" s="7">
        <v>52</v>
      </c>
      <c r="J13" s="7">
        <v>44</v>
      </c>
      <c r="K13" s="7">
        <v>34</v>
      </c>
      <c r="L13" s="8">
        <v>5.9225512528473807</v>
      </c>
      <c r="M13" s="2">
        <v>5.7971014500000004</v>
      </c>
      <c r="N13" s="6">
        <v>294.82</v>
      </c>
      <c r="O13" s="5">
        <v>5.6696015500000003</v>
      </c>
      <c r="P13" s="5">
        <v>8.67</v>
      </c>
    </row>
    <row r="14" spans="1:18" x14ac:dyDescent="0.2">
      <c r="A14" s="1" t="s">
        <v>31</v>
      </c>
      <c r="B14" s="1" t="s">
        <v>32</v>
      </c>
      <c r="C14" s="1" t="s">
        <v>24</v>
      </c>
      <c r="D14" s="1" t="s">
        <v>17</v>
      </c>
      <c r="E14" s="1" t="s">
        <v>33</v>
      </c>
      <c r="F14" s="7">
        <v>218</v>
      </c>
      <c r="G14" s="7">
        <v>243</v>
      </c>
      <c r="H14" s="2">
        <v>1.1146788990000001</v>
      </c>
      <c r="I14" s="7">
        <v>18</v>
      </c>
      <c r="J14" s="7">
        <v>18</v>
      </c>
      <c r="K14" s="7">
        <v>15</v>
      </c>
      <c r="L14" s="8">
        <v>7.4074074074074066</v>
      </c>
      <c r="M14" s="2">
        <v>8.2568807300000007</v>
      </c>
      <c r="N14" s="6">
        <v>101.06</v>
      </c>
      <c r="O14" s="5">
        <v>5.6146358100000002</v>
      </c>
      <c r="P14" s="5">
        <v>6.74</v>
      </c>
    </row>
    <row r="15" spans="1:18" x14ac:dyDescent="0.2">
      <c r="A15" s="1" t="s">
        <v>34</v>
      </c>
      <c r="B15" s="1" t="s">
        <v>35</v>
      </c>
      <c r="C15" s="1" t="s">
        <v>24</v>
      </c>
      <c r="D15" s="1" t="s">
        <v>25</v>
      </c>
      <c r="E15" s="1" t="s">
        <v>36</v>
      </c>
      <c r="F15" s="7">
        <v>5952</v>
      </c>
      <c r="G15" s="7">
        <v>6943</v>
      </c>
      <c r="H15" s="2">
        <v>1.1664986559999999</v>
      </c>
      <c r="I15" s="7">
        <v>284</v>
      </c>
      <c r="J15" s="7">
        <v>238</v>
      </c>
      <c r="K15" s="7">
        <v>98</v>
      </c>
      <c r="L15" s="8">
        <v>4.0904508137692641</v>
      </c>
      <c r="M15" s="2">
        <v>3.9986559100000001</v>
      </c>
      <c r="N15" s="6">
        <v>378.1</v>
      </c>
      <c r="O15" s="5">
        <v>1.33135077</v>
      </c>
      <c r="P15" s="5">
        <v>3.86</v>
      </c>
    </row>
    <row r="16" spans="1:18" x14ac:dyDescent="0.2">
      <c r="A16" s="1" t="s">
        <v>34</v>
      </c>
      <c r="B16" s="1" t="s">
        <v>35</v>
      </c>
      <c r="C16" s="1" t="s">
        <v>24</v>
      </c>
      <c r="D16" s="1" t="s">
        <v>17</v>
      </c>
      <c r="E16" s="1" t="s">
        <v>36</v>
      </c>
      <c r="F16" s="7">
        <v>3717</v>
      </c>
      <c r="G16" s="7">
        <v>4620</v>
      </c>
      <c r="H16" s="2">
        <v>1.2429378529999999</v>
      </c>
      <c r="I16" s="7">
        <v>184</v>
      </c>
      <c r="J16" s="7">
        <v>160</v>
      </c>
      <c r="K16" s="7">
        <v>46</v>
      </c>
      <c r="L16" s="8">
        <v>3.9826839826839828</v>
      </c>
      <c r="M16" s="2">
        <v>4.3045466799999996</v>
      </c>
      <c r="N16" s="6">
        <v>282.22000000000003</v>
      </c>
      <c r="O16" s="5">
        <v>1.5337844199999999</v>
      </c>
      <c r="P16" s="5">
        <v>6.14</v>
      </c>
    </row>
    <row r="17" spans="1:16" x14ac:dyDescent="0.2">
      <c r="A17" s="1" t="s">
        <v>34</v>
      </c>
      <c r="B17" s="1" t="s">
        <v>35</v>
      </c>
      <c r="C17" s="1" t="s">
        <v>24</v>
      </c>
      <c r="D17" s="1" t="s">
        <v>27</v>
      </c>
      <c r="E17" s="1" t="s">
        <v>36</v>
      </c>
      <c r="F17" s="7">
        <v>5355</v>
      </c>
      <c r="G17" s="7">
        <v>8920</v>
      </c>
      <c r="H17" s="2">
        <v>1.6657329599999999</v>
      </c>
      <c r="I17" s="7">
        <v>180</v>
      </c>
      <c r="J17" s="7">
        <v>154</v>
      </c>
      <c r="K17" s="7">
        <v>93</v>
      </c>
      <c r="L17" s="8">
        <v>2.0179372197309418</v>
      </c>
      <c r="M17" s="2">
        <v>2.8758169900000001</v>
      </c>
      <c r="N17" s="6">
        <v>177.46</v>
      </c>
      <c r="O17" s="5">
        <v>0.98588916000000004</v>
      </c>
      <c r="P17" s="5">
        <v>1.91</v>
      </c>
    </row>
    <row r="18" spans="1:16" x14ac:dyDescent="0.2">
      <c r="A18" s="1" t="s">
        <v>37</v>
      </c>
      <c r="B18" s="1" t="s">
        <v>38</v>
      </c>
      <c r="C18" s="1" t="s">
        <v>24</v>
      </c>
      <c r="D18" s="1" t="s">
        <v>25</v>
      </c>
      <c r="E18" s="1" t="s">
        <v>39</v>
      </c>
      <c r="F18" s="7">
        <v>30110</v>
      </c>
      <c r="G18" s="7">
        <v>35372</v>
      </c>
      <c r="H18" s="2">
        <v>1.174759216</v>
      </c>
      <c r="I18" s="7">
        <v>1308</v>
      </c>
      <c r="J18" s="7">
        <v>1162</v>
      </c>
      <c r="K18" s="7">
        <v>934</v>
      </c>
      <c r="L18" s="8">
        <v>3.6978400995137397</v>
      </c>
      <c r="M18" s="2">
        <v>3.8591830000000003</v>
      </c>
      <c r="N18" s="6">
        <v>894</v>
      </c>
      <c r="O18" s="5">
        <v>0.68348251999999998</v>
      </c>
      <c r="P18" s="5">
        <v>0.96</v>
      </c>
    </row>
    <row r="19" spans="1:16" x14ac:dyDescent="0.2">
      <c r="A19" s="1" t="s">
        <v>37</v>
      </c>
      <c r="B19" s="1" t="s">
        <v>38</v>
      </c>
      <c r="C19" s="1" t="s">
        <v>24</v>
      </c>
      <c r="D19" s="1" t="s">
        <v>17</v>
      </c>
      <c r="E19" s="1" t="s">
        <v>39</v>
      </c>
      <c r="F19" s="7">
        <v>1721</v>
      </c>
      <c r="G19" s="7">
        <v>1874</v>
      </c>
      <c r="H19" s="2">
        <v>1.088901801</v>
      </c>
      <c r="I19" s="7">
        <v>92</v>
      </c>
      <c r="J19" s="7">
        <v>76</v>
      </c>
      <c r="K19" s="7">
        <v>53</v>
      </c>
      <c r="L19" s="8">
        <v>4.909284951974386</v>
      </c>
      <c r="M19" s="2">
        <v>4.4160371899999999</v>
      </c>
      <c r="N19" s="6">
        <v>61.21</v>
      </c>
      <c r="O19" s="5">
        <v>0.66537891000000005</v>
      </c>
      <c r="P19" s="5">
        <v>1.1499999999999999</v>
      </c>
    </row>
    <row r="20" spans="1:16" x14ac:dyDescent="0.2">
      <c r="A20" s="1" t="s">
        <v>40</v>
      </c>
      <c r="B20" s="1" t="s">
        <v>41</v>
      </c>
      <c r="C20" s="1" t="s">
        <v>24</v>
      </c>
      <c r="D20" s="1" t="s">
        <v>25</v>
      </c>
      <c r="E20" s="1" t="s">
        <v>42</v>
      </c>
      <c r="F20" s="7">
        <v>18900</v>
      </c>
      <c r="G20" s="7">
        <v>36659</v>
      </c>
      <c r="H20" s="2">
        <v>1.93962963</v>
      </c>
      <c r="I20" s="7">
        <v>849</v>
      </c>
      <c r="J20" s="7">
        <v>688</v>
      </c>
      <c r="K20" s="7">
        <v>306</v>
      </c>
      <c r="L20" s="8">
        <v>2.3159387872009605</v>
      </c>
      <c r="M20" s="2">
        <v>3.6402116399999995</v>
      </c>
      <c r="N20" s="6">
        <v>634.64</v>
      </c>
      <c r="O20" s="5">
        <v>0.74751528</v>
      </c>
      <c r="P20" s="5">
        <v>2.0699999999999998</v>
      </c>
    </row>
    <row r="21" spans="1:16" x14ac:dyDescent="0.2">
      <c r="A21" s="1" t="s">
        <v>40</v>
      </c>
      <c r="B21" s="1" t="s">
        <v>41</v>
      </c>
      <c r="C21" s="1" t="s">
        <v>24</v>
      </c>
      <c r="D21" s="1" t="s">
        <v>27</v>
      </c>
      <c r="E21" s="1" t="s">
        <v>42</v>
      </c>
      <c r="F21" s="7">
        <v>6145</v>
      </c>
      <c r="G21" s="7">
        <v>19474</v>
      </c>
      <c r="H21" s="2">
        <v>3.1690805530000001</v>
      </c>
      <c r="I21" s="7">
        <v>325</v>
      </c>
      <c r="J21" s="7">
        <v>246</v>
      </c>
      <c r="K21" s="7">
        <v>129</v>
      </c>
      <c r="L21" s="8">
        <v>1.6688918558077435</v>
      </c>
      <c r="M21" s="2">
        <v>4.0032546800000004</v>
      </c>
      <c r="N21" s="6">
        <v>211.76</v>
      </c>
      <c r="O21" s="5">
        <v>0.65156015</v>
      </c>
      <c r="P21" s="5">
        <v>1.64</v>
      </c>
    </row>
    <row r="22" spans="1:16" x14ac:dyDescent="0.2">
      <c r="A22" s="1" t="s">
        <v>40</v>
      </c>
      <c r="B22" s="1" t="s">
        <v>41</v>
      </c>
      <c r="C22" s="1" t="s">
        <v>24</v>
      </c>
      <c r="D22" s="1" t="s">
        <v>17</v>
      </c>
      <c r="E22" s="1" t="s">
        <v>42</v>
      </c>
      <c r="F22" s="7">
        <v>4623</v>
      </c>
      <c r="G22" s="7">
        <v>9082</v>
      </c>
      <c r="H22" s="2">
        <v>1.9645252</v>
      </c>
      <c r="I22" s="7">
        <v>246</v>
      </c>
      <c r="J22" s="7">
        <v>212</v>
      </c>
      <c r="K22" s="7">
        <v>83</v>
      </c>
      <c r="L22" s="8">
        <v>2.7086544813917639</v>
      </c>
      <c r="M22" s="2">
        <v>4.5857668199999999</v>
      </c>
      <c r="N22" s="6">
        <v>188.84</v>
      </c>
      <c r="O22" s="5">
        <v>0.76765236000000003</v>
      </c>
      <c r="P22" s="5">
        <v>2.2799999999999998</v>
      </c>
    </row>
    <row r="23" spans="1:16" x14ac:dyDescent="0.2">
      <c r="A23" s="1" t="s">
        <v>43</v>
      </c>
      <c r="B23" s="1" t="s">
        <v>44</v>
      </c>
      <c r="C23" s="1" t="s">
        <v>24</v>
      </c>
      <c r="D23" s="1" t="s">
        <v>25</v>
      </c>
      <c r="E23" s="1" t="s">
        <v>45</v>
      </c>
      <c r="F23" s="7">
        <v>11027</v>
      </c>
      <c r="G23" s="7">
        <v>13820</v>
      </c>
      <c r="H23" s="2">
        <v>1.253287386</v>
      </c>
      <c r="I23" s="7">
        <v>1491</v>
      </c>
      <c r="J23" s="7">
        <v>1132</v>
      </c>
      <c r="K23" s="7">
        <v>548</v>
      </c>
      <c r="L23" s="8">
        <v>10.788712011577424</v>
      </c>
      <c r="M23" s="2">
        <v>10.26571144</v>
      </c>
      <c r="N23" s="6">
        <v>542.66999999999996</v>
      </c>
      <c r="O23" s="5">
        <v>0.36396574999999998</v>
      </c>
      <c r="P23" s="5">
        <v>0.99</v>
      </c>
    </row>
    <row r="24" spans="1:16" x14ac:dyDescent="0.2">
      <c r="A24" s="1" t="s">
        <v>43</v>
      </c>
      <c r="B24" s="1" t="s">
        <v>44</v>
      </c>
      <c r="C24" s="1" t="s">
        <v>24</v>
      </c>
      <c r="D24" s="1" t="s">
        <v>27</v>
      </c>
      <c r="E24" s="1" t="s">
        <v>45</v>
      </c>
      <c r="F24" s="7">
        <v>8516</v>
      </c>
      <c r="G24" s="7">
        <v>12372</v>
      </c>
      <c r="H24" s="2">
        <v>1.452794739</v>
      </c>
      <c r="I24" s="7">
        <v>970</v>
      </c>
      <c r="J24" s="7">
        <v>696</v>
      </c>
      <c r="K24" s="7">
        <v>408</v>
      </c>
      <c r="L24" s="8">
        <v>7.8402845134173935</v>
      </c>
      <c r="M24" s="2">
        <v>8.1728511000000008</v>
      </c>
      <c r="N24" s="6">
        <v>282.20999999999998</v>
      </c>
      <c r="O24" s="5">
        <v>0.29093766999999998</v>
      </c>
      <c r="P24" s="5">
        <v>0.69</v>
      </c>
    </row>
    <row r="25" spans="1:16" x14ac:dyDescent="0.2">
      <c r="A25" s="1" t="s">
        <v>43</v>
      </c>
      <c r="B25" s="1" t="s">
        <v>44</v>
      </c>
      <c r="C25" s="1" t="s">
        <v>24</v>
      </c>
      <c r="D25" s="1" t="s">
        <v>17</v>
      </c>
      <c r="E25" s="1" t="s">
        <v>45</v>
      </c>
      <c r="F25" s="7">
        <v>2386</v>
      </c>
      <c r="G25" s="7">
        <v>2782</v>
      </c>
      <c r="H25" s="2">
        <v>1.1659681479999999</v>
      </c>
      <c r="I25" s="7">
        <v>304</v>
      </c>
      <c r="J25" s="7">
        <v>230</v>
      </c>
      <c r="K25" s="7">
        <v>117</v>
      </c>
      <c r="L25" s="8">
        <v>10.927390366642703</v>
      </c>
      <c r="M25" s="2">
        <v>9.6395641199999993</v>
      </c>
      <c r="N25" s="6">
        <v>117.9</v>
      </c>
      <c r="O25" s="5">
        <v>0.38782084999999999</v>
      </c>
      <c r="P25" s="5">
        <v>1.01</v>
      </c>
    </row>
    <row r="26" spans="1:16" x14ac:dyDescent="0.2">
      <c r="A26" s="1" t="s">
        <v>46</v>
      </c>
      <c r="B26" s="1" t="s">
        <v>47</v>
      </c>
      <c r="C26" s="1" t="s">
        <v>24</v>
      </c>
      <c r="D26" s="1" t="s">
        <v>17</v>
      </c>
      <c r="E26" s="1" t="s">
        <v>48</v>
      </c>
      <c r="F26" s="7">
        <v>2892</v>
      </c>
      <c r="G26" s="7">
        <v>3347</v>
      </c>
      <c r="H26" s="2">
        <v>1.157330567</v>
      </c>
      <c r="I26" s="7">
        <v>135</v>
      </c>
      <c r="J26" s="7">
        <v>102</v>
      </c>
      <c r="K26" s="7">
        <v>41</v>
      </c>
      <c r="L26" s="8">
        <v>4.0334628025097103</v>
      </c>
      <c r="M26" s="2">
        <v>3.5269709499999995</v>
      </c>
      <c r="N26" s="6">
        <v>455.49</v>
      </c>
      <c r="O26" s="5">
        <v>3.3739992999999999</v>
      </c>
      <c r="P26" s="5">
        <v>11.11</v>
      </c>
    </row>
    <row r="27" spans="1:16" x14ac:dyDescent="0.2">
      <c r="A27" s="1" t="s">
        <v>46</v>
      </c>
      <c r="B27" s="1" t="s">
        <v>47</v>
      </c>
      <c r="C27" s="1" t="s">
        <v>24</v>
      </c>
      <c r="D27" s="1" t="s">
        <v>25</v>
      </c>
      <c r="E27" s="1" t="s">
        <v>48</v>
      </c>
      <c r="F27" s="7">
        <v>2862</v>
      </c>
      <c r="G27" s="7">
        <v>3234</v>
      </c>
      <c r="H27" s="2">
        <v>1.1299790359999999</v>
      </c>
      <c r="I27" s="7">
        <v>72</v>
      </c>
      <c r="J27" s="7">
        <v>60</v>
      </c>
      <c r="K27" s="7">
        <v>27</v>
      </c>
      <c r="L27" s="8">
        <v>2.2263450834879404</v>
      </c>
      <c r="M27" s="2">
        <v>2.0964360599999998</v>
      </c>
      <c r="N27" s="6">
        <v>316.14</v>
      </c>
      <c r="O27" s="5">
        <v>4.3908387800000002</v>
      </c>
      <c r="P27" s="5">
        <v>11.71</v>
      </c>
    </row>
    <row r="28" spans="1:16" x14ac:dyDescent="0.2">
      <c r="A28" s="1" t="s">
        <v>46</v>
      </c>
      <c r="B28" s="1" t="s">
        <v>47</v>
      </c>
      <c r="C28" s="1" t="s">
        <v>24</v>
      </c>
      <c r="D28" s="1" t="s">
        <v>27</v>
      </c>
      <c r="E28" s="1" t="s">
        <v>48</v>
      </c>
      <c r="F28" s="7">
        <v>1579</v>
      </c>
      <c r="G28" s="7">
        <v>2079</v>
      </c>
      <c r="H28" s="2">
        <v>1.3166561109999999</v>
      </c>
      <c r="I28" s="7">
        <v>35</v>
      </c>
      <c r="J28" s="7">
        <v>32</v>
      </c>
      <c r="K28" s="7">
        <v>20</v>
      </c>
      <c r="L28" s="8">
        <v>1.6835016835016834</v>
      </c>
      <c r="M28" s="2">
        <v>2.0265991099999998</v>
      </c>
      <c r="N28" s="6">
        <v>104.63</v>
      </c>
      <c r="O28" s="5">
        <v>2.98942007</v>
      </c>
      <c r="P28" s="5">
        <v>5.23</v>
      </c>
    </row>
    <row r="29" spans="1:16" x14ac:dyDescent="0.2">
      <c r="A29" s="1" t="s">
        <v>49</v>
      </c>
      <c r="B29" s="1" t="s">
        <v>50</v>
      </c>
      <c r="C29" s="1" t="s">
        <v>24</v>
      </c>
      <c r="D29" s="1" t="s">
        <v>27</v>
      </c>
      <c r="E29" s="1" t="s">
        <v>51</v>
      </c>
      <c r="F29" s="7">
        <v>2557</v>
      </c>
      <c r="G29" s="7">
        <v>2941</v>
      </c>
      <c r="H29" s="2">
        <v>1.1501759869999999</v>
      </c>
      <c r="I29" s="7">
        <v>69</v>
      </c>
      <c r="J29" s="7">
        <v>60</v>
      </c>
      <c r="K29" s="7">
        <v>33</v>
      </c>
      <c r="L29" s="8">
        <v>2.3461407684461069</v>
      </c>
      <c r="M29" s="2">
        <v>2.3464998000000001</v>
      </c>
      <c r="N29" s="6">
        <v>487.52</v>
      </c>
      <c r="O29" s="5">
        <v>7.0655072499999996</v>
      </c>
      <c r="P29" s="5">
        <v>14.77</v>
      </c>
    </row>
    <row r="30" spans="1:16" x14ac:dyDescent="0.2">
      <c r="A30" s="1" t="s">
        <v>49</v>
      </c>
      <c r="B30" s="1" t="s">
        <v>50</v>
      </c>
      <c r="C30" s="1" t="s">
        <v>24</v>
      </c>
      <c r="D30" s="1" t="s">
        <v>25</v>
      </c>
      <c r="E30" s="1" t="s">
        <v>51</v>
      </c>
      <c r="F30" s="7">
        <v>741</v>
      </c>
      <c r="G30" s="7">
        <v>785</v>
      </c>
      <c r="H30" s="2">
        <v>1.059379217</v>
      </c>
      <c r="I30" s="7">
        <v>39</v>
      </c>
      <c r="J30" s="7">
        <v>34</v>
      </c>
      <c r="K30" s="7">
        <v>20</v>
      </c>
      <c r="L30" s="8">
        <v>4.9681528662420389</v>
      </c>
      <c r="M30" s="2">
        <v>4.5883940599999997</v>
      </c>
      <c r="N30" s="6">
        <v>255.57</v>
      </c>
      <c r="O30" s="5">
        <v>6.5530769199999996</v>
      </c>
      <c r="P30" s="5">
        <v>12.78</v>
      </c>
    </row>
    <row r="31" spans="1:16" x14ac:dyDescent="0.2">
      <c r="A31" s="1" t="s">
        <v>49</v>
      </c>
      <c r="B31" s="1" t="s">
        <v>50</v>
      </c>
      <c r="C31" s="1" t="s">
        <v>24</v>
      </c>
      <c r="D31" s="1" t="s">
        <v>17</v>
      </c>
      <c r="E31" s="1" t="s">
        <v>51</v>
      </c>
      <c r="F31" s="7">
        <v>338</v>
      </c>
      <c r="G31" s="7">
        <v>365</v>
      </c>
      <c r="H31" s="2">
        <v>1.0798816570000001</v>
      </c>
      <c r="I31" s="7">
        <v>13</v>
      </c>
      <c r="J31" s="7">
        <v>11</v>
      </c>
      <c r="K31" s="7">
        <v>4</v>
      </c>
      <c r="L31" s="8">
        <v>3.5616438356164384</v>
      </c>
      <c r="M31" s="2">
        <v>3.2544378700000003</v>
      </c>
      <c r="N31" s="6">
        <v>113.58</v>
      </c>
      <c r="O31" s="5">
        <v>8.7369230800000004</v>
      </c>
      <c r="P31" s="5">
        <v>28.4</v>
      </c>
    </row>
    <row r="32" spans="1:16" x14ac:dyDescent="0.2">
      <c r="A32" s="1" t="s">
        <v>52</v>
      </c>
      <c r="B32" s="1" t="s">
        <v>53</v>
      </c>
      <c r="C32" s="1" t="s">
        <v>24</v>
      </c>
      <c r="D32" s="1" t="s">
        <v>27</v>
      </c>
      <c r="E32" s="1" t="s">
        <v>54</v>
      </c>
      <c r="F32" s="7">
        <v>2159</v>
      </c>
      <c r="G32" s="7">
        <v>2465</v>
      </c>
      <c r="H32" s="2">
        <v>1.1417322830000001</v>
      </c>
      <c r="I32" s="7">
        <v>126</v>
      </c>
      <c r="J32" s="7">
        <v>111</v>
      </c>
      <c r="K32" s="7">
        <v>95</v>
      </c>
      <c r="L32" s="8">
        <v>5.1115618661257605</v>
      </c>
      <c r="M32" s="2">
        <v>5.1412691099999996</v>
      </c>
      <c r="N32" s="6">
        <v>691.28</v>
      </c>
      <c r="O32" s="5">
        <v>5.4863581899999998</v>
      </c>
      <c r="P32" s="5">
        <v>7.28</v>
      </c>
    </row>
    <row r="33" spans="1:16" x14ac:dyDescent="0.2">
      <c r="A33" s="1" t="s">
        <v>52</v>
      </c>
      <c r="B33" s="1" t="s">
        <v>53</v>
      </c>
      <c r="C33" s="1" t="s">
        <v>24</v>
      </c>
      <c r="D33" s="1" t="s">
        <v>25</v>
      </c>
      <c r="E33" s="1" t="s">
        <v>54</v>
      </c>
      <c r="F33" s="7">
        <v>305</v>
      </c>
      <c r="G33" s="7">
        <v>332</v>
      </c>
      <c r="H33" s="2">
        <v>1.08852459</v>
      </c>
      <c r="I33" s="7">
        <v>43</v>
      </c>
      <c r="J33" s="7">
        <v>37</v>
      </c>
      <c r="K33" s="7">
        <v>28</v>
      </c>
      <c r="L33" s="8">
        <v>12.951807228915662</v>
      </c>
      <c r="M33" s="2">
        <v>12.131147540000001</v>
      </c>
      <c r="N33" s="6">
        <v>159.13999999999999</v>
      </c>
      <c r="O33" s="5">
        <v>3.7008425200000001</v>
      </c>
      <c r="P33" s="5">
        <v>5.68</v>
      </c>
    </row>
    <row r="34" spans="1:16" x14ac:dyDescent="0.2">
      <c r="A34" s="1" t="s">
        <v>52</v>
      </c>
      <c r="B34" s="1" t="s">
        <v>53</v>
      </c>
      <c r="C34" s="1" t="s">
        <v>24</v>
      </c>
      <c r="D34" s="1" t="s">
        <v>17</v>
      </c>
      <c r="E34" s="1" t="s">
        <v>54</v>
      </c>
      <c r="F34" s="7">
        <v>91</v>
      </c>
      <c r="G34" s="7">
        <v>103</v>
      </c>
      <c r="H34" s="2">
        <v>1.1318681319999999</v>
      </c>
      <c r="I34" s="7">
        <v>9</v>
      </c>
      <c r="J34" s="7">
        <v>8</v>
      </c>
      <c r="K34" s="7">
        <v>3</v>
      </c>
      <c r="L34" s="8">
        <v>8.7378640776699026</v>
      </c>
      <c r="M34" s="2">
        <v>8.7912087900000007</v>
      </c>
      <c r="N34" s="6">
        <v>47.26</v>
      </c>
      <c r="O34" s="5">
        <v>5.2514043800000003</v>
      </c>
      <c r="P34" s="5">
        <v>15.75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4ED5-30C4-44FA-B2BE-77DF48E58796}">
  <dimension ref="A3:K57"/>
  <sheetViews>
    <sheetView workbookViewId="0"/>
  </sheetViews>
  <sheetFormatPr defaultRowHeight="12.75" x14ac:dyDescent="0.2"/>
  <cols>
    <col min="1" max="1" width="11.42578125" bestFit="1" customWidth="1"/>
    <col min="2" max="2" width="13.42578125" bestFit="1" customWidth="1"/>
    <col min="3" max="3" width="39.42578125" bestFit="1" customWidth="1"/>
    <col min="4" max="4" width="21.140625" bestFit="1" customWidth="1"/>
    <col min="7" max="7" width="89" bestFit="1" customWidth="1"/>
    <col min="8" max="8" width="6.85546875" bestFit="1" customWidth="1"/>
    <col min="9" max="9" width="21.140625" bestFit="1" customWidth="1"/>
    <col min="10" max="10" width="14" bestFit="1" customWidth="1"/>
    <col min="11" max="11" width="21.140625" bestFit="1" customWidth="1"/>
  </cols>
  <sheetData>
    <row r="3" spans="1:11" x14ac:dyDescent="0.2">
      <c r="A3" s="3" t="s">
        <v>58</v>
      </c>
      <c r="B3" t="s">
        <v>59</v>
      </c>
      <c r="C3" t="s">
        <v>60</v>
      </c>
      <c r="D3" t="s">
        <v>61</v>
      </c>
      <c r="H3" s="3" t="s">
        <v>1</v>
      </c>
      <c r="I3" t="s">
        <v>59</v>
      </c>
      <c r="J3" t="s">
        <v>60</v>
      </c>
      <c r="K3" t="s">
        <v>61</v>
      </c>
    </row>
    <row r="4" spans="1:11" x14ac:dyDescent="0.2">
      <c r="A4" s="4" t="s">
        <v>14</v>
      </c>
      <c r="B4" s="9">
        <v>1218</v>
      </c>
      <c r="C4" s="10">
        <v>2.7304381238931112</v>
      </c>
      <c r="D4" s="11">
        <v>2333.33</v>
      </c>
      <c r="H4" s="4" t="s">
        <v>16</v>
      </c>
      <c r="I4" s="9">
        <v>1218</v>
      </c>
      <c r="J4" s="10">
        <v>2.7304381238931112</v>
      </c>
      <c r="K4" s="11">
        <v>2333.33</v>
      </c>
    </row>
    <row r="5" spans="1:11" x14ac:dyDescent="0.2">
      <c r="A5" s="4" t="s">
        <v>49</v>
      </c>
      <c r="B5" s="9">
        <v>121</v>
      </c>
      <c r="C5" s="10">
        <v>3.6253124901015283</v>
      </c>
      <c r="D5" s="11">
        <v>856.67</v>
      </c>
      <c r="H5" s="4" t="s">
        <v>24</v>
      </c>
      <c r="I5" s="9">
        <v>10807</v>
      </c>
      <c r="J5" s="10">
        <v>5.1020149001040043</v>
      </c>
      <c r="K5" s="11">
        <v>9755.2800000000007</v>
      </c>
    </row>
    <row r="6" spans="1:11" x14ac:dyDescent="0.2">
      <c r="A6" s="4" t="s">
        <v>52</v>
      </c>
      <c r="B6" s="9">
        <v>178</v>
      </c>
      <c r="C6" s="10">
        <v>8.9337443909037759</v>
      </c>
      <c r="D6" s="11">
        <v>897.68</v>
      </c>
      <c r="H6" s="4" t="s">
        <v>56</v>
      </c>
      <c r="I6" s="9">
        <v>12025</v>
      </c>
      <c r="J6" s="10">
        <v>4.8145510484420795</v>
      </c>
      <c r="K6" s="11">
        <v>12088.609999999999</v>
      </c>
    </row>
    <row r="7" spans="1:11" x14ac:dyDescent="0.2">
      <c r="A7" s="4" t="s">
        <v>22</v>
      </c>
      <c r="B7" s="9">
        <v>3743</v>
      </c>
      <c r="C7" s="10">
        <v>5.9292968515454838</v>
      </c>
      <c r="D7" s="11">
        <v>1579.02</v>
      </c>
    </row>
    <row r="8" spans="1:11" x14ac:dyDescent="0.2">
      <c r="A8" s="4" t="s">
        <v>28</v>
      </c>
      <c r="B8" s="9">
        <v>119</v>
      </c>
      <c r="C8" s="10">
        <v>4.3538692180669036</v>
      </c>
      <c r="D8" s="11">
        <v>850.68</v>
      </c>
      <c r="H8" s="15" t="s">
        <v>1</v>
      </c>
      <c r="I8" s="12" t="s">
        <v>62</v>
      </c>
      <c r="J8" s="13" t="s">
        <v>64</v>
      </c>
    </row>
    <row r="9" spans="1:11" x14ac:dyDescent="0.2">
      <c r="A9" s="4" t="s">
        <v>31</v>
      </c>
      <c r="B9" s="9">
        <v>171</v>
      </c>
      <c r="C9" s="10">
        <v>5.5134615326511502</v>
      </c>
      <c r="D9" s="11">
        <v>923.96</v>
      </c>
      <c r="H9" t="str" cm="1">
        <f t="array" ref="H9:H10">H4:H5</f>
        <v>Educators and Principals</v>
      </c>
      <c r="I9" s="10" cm="1">
        <f t="array" ref="I9:I10">J4:J5</f>
        <v>2.7304381238931112</v>
      </c>
      <c r="J9" s="14">
        <f>GETPIVOTDATA("Sum of Amount Spent",$H$3,"Audience","Educators and Principals")/GETPIVOTDATA("Sum of Clicks",$H$3,"Audience","Educators and Principals")</f>
        <v>1.9157060755336617</v>
      </c>
    </row>
    <row r="10" spans="1:11" x14ac:dyDescent="0.2">
      <c r="A10" s="4" t="s">
        <v>34</v>
      </c>
      <c r="B10" s="9">
        <v>648</v>
      </c>
      <c r="C10" s="10">
        <v>3.3636906720613964</v>
      </c>
      <c r="D10" s="11">
        <v>837.78000000000009</v>
      </c>
      <c r="H10" t="str">
        <v>Students</v>
      </c>
      <c r="I10" s="10">
        <v>5.1020149001040043</v>
      </c>
      <c r="J10" s="14">
        <f>GETPIVOTDATA("Sum of Amount Spent",$H$3,"Audience","Students")/GETPIVOTDATA("Sum of Clicks",$H$3,"Audience","Students")</f>
        <v>0.90268159526233005</v>
      </c>
    </row>
    <row r="11" spans="1:11" x14ac:dyDescent="0.2">
      <c r="A11" s="4" t="s">
        <v>37</v>
      </c>
      <c r="B11" s="9">
        <v>1400</v>
      </c>
      <c r="C11" s="10">
        <v>4.3035625257440628</v>
      </c>
      <c r="D11" s="11">
        <v>955.21</v>
      </c>
    </row>
    <row r="12" spans="1:11" x14ac:dyDescent="0.2">
      <c r="A12" s="4" t="s">
        <v>40</v>
      </c>
      <c r="B12" s="9">
        <v>1420</v>
      </c>
      <c r="C12" s="10">
        <v>2.2311617081334894</v>
      </c>
      <c r="D12" s="11">
        <v>1035.24</v>
      </c>
    </row>
    <row r="13" spans="1:11" x14ac:dyDescent="0.2">
      <c r="A13" s="4" t="s">
        <v>43</v>
      </c>
      <c r="B13" s="9">
        <v>2765</v>
      </c>
      <c r="C13" s="10">
        <v>9.8521289638791743</v>
      </c>
      <c r="D13" s="11">
        <v>942.77999999999986</v>
      </c>
    </row>
    <row r="14" spans="1:11" x14ac:dyDescent="0.2">
      <c r="A14" s="4" t="s">
        <v>46</v>
      </c>
      <c r="B14" s="9">
        <v>242</v>
      </c>
      <c r="C14" s="10">
        <v>2.647769856499778</v>
      </c>
      <c r="D14" s="11">
        <v>876.26</v>
      </c>
    </row>
    <row r="15" spans="1:11" x14ac:dyDescent="0.2">
      <c r="A15" s="4" t="s">
        <v>56</v>
      </c>
      <c r="B15" s="9">
        <v>12025</v>
      </c>
      <c r="C15" s="10">
        <v>4.8145510484420786</v>
      </c>
      <c r="D15" s="11">
        <v>12088.609999999997</v>
      </c>
      <c r="H15" s="3" t="s">
        <v>2</v>
      </c>
      <c r="I15" t="s">
        <v>65</v>
      </c>
      <c r="J15" t="s">
        <v>66</v>
      </c>
    </row>
    <row r="16" spans="1:11" x14ac:dyDescent="0.2">
      <c r="H16" s="4" t="s">
        <v>27</v>
      </c>
      <c r="I16" s="9">
        <v>2836</v>
      </c>
      <c r="J16" s="9">
        <v>2136</v>
      </c>
    </row>
    <row r="17" spans="1:10" x14ac:dyDescent="0.2">
      <c r="H17" s="4" t="s">
        <v>25</v>
      </c>
      <c r="I17" s="9">
        <v>6780</v>
      </c>
      <c r="J17" s="9">
        <v>5435</v>
      </c>
    </row>
    <row r="18" spans="1:10" x14ac:dyDescent="0.2">
      <c r="H18" s="4" t="s">
        <v>17</v>
      </c>
      <c r="I18" s="9">
        <v>1678</v>
      </c>
      <c r="J18" s="9">
        <v>1372</v>
      </c>
    </row>
    <row r="19" spans="1:10" x14ac:dyDescent="0.2">
      <c r="H19" s="4" t="s">
        <v>19</v>
      </c>
      <c r="I19" s="9">
        <v>484</v>
      </c>
      <c r="J19" s="9">
        <v>376</v>
      </c>
    </row>
    <row r="20" spans="1:10" x14ac:dyDescent="0.2">
      <c r="A20" s="12" t="s">
        <v>58</v>
      </c>
      <c r="B20" s="12" t="s">
        <v>62</v>
      </c>
      <c r="C20" s="12" t="s">
        <v>63</v>
      </c>
      <c r="H20" s="4" t="s">
        <v>20</v>
      </c>
      <c r="I20" s="9">
        <v>198</v>
      </c>
      <c r="J20" s="9">
        <v>145</v>
      </c>
    </row>
    <row r="21" spans="1:10" x14ac:dyDescent="0.2">
      <c r="A21" t="str" cm="1">
        <f t="array" ref="A21:A31">A4:A14</f>
        <v>Campaign 1</v>
      </c>
      <c r="B21" s="10" cm="1">
        <f t="array" ref="B21:B31">C4:C14</f>
        <v>2.7304381238931112</v>
      </c>
      <c r="C21" s="14">
        <f>GETPIVOTDATA("Sum of Amount Spent",$A$3,"Campaign ID","Campaign 1")/GETPIVOTDATA("Sum of Clicks",$A$3,"Campaign ID","Campaign 1")</f>
        <v>1.9157060755336617</v>
      </c>
      <c r="H21" s="4" t="s">
        <v>21</v>
      </c>
      <c r="I21" s="9">
        <v>49</v>
      </c>
      <c r="J21" s="9">
        <v>40</v>
      </c>
    </row>
    <row r="22" spans="1:10" x14ac:dyDescent="0.2">
      <c r="A22" t="str">
        <v>Campaign 10</v>
      </c>
      <c r="B22" s="10">
        <v>3.6253124901015283</v>
      </c>
      <c r="C22" s="14">
        <f>GETPIVOTDATA("Sum of Amount Spent",$A$3,"Campaign ID","Campaign 10")/GETPIVOTDATA("Sum of Clicks",$A$3,"Campaign ID","Campaign 10")</f>
        <v>7.0799173553719008</v>
      </c>
      <c r="H22" s="4" t="s">
        <v>56</v>
      </c>
      <c r="I22" s="9">
        <v>12025</v>
      </c>
      <c r="J22" s="9">
        <v>9504</v>
      </c>
    </row>
    <row r="23" spans="1:10" x14ac:dyDescent="0.2">
      <c r="A23" t="str">
        <v>Campaign 11</v>
      </c>
      <c r="B23" s="10">
        <v>8.9337443909037759</v>
      </c>
      <c r="C23" s="14">
        <f>GETPIVOTDATA("Sum of Amount Spent",$A$3,"Campaign ID","Campaign 11")/GETPIVOTDATA("Sum of Clicks",$A$3,"Campaign ID","Campaign 11")</f>
        <v>5.04314606741573</v>
      </c>
    </row>
    <row r="24" spans="1:10" x14ac:dyDescent="0.2">
      <c r="A24" t="str">
        <v>Campaign 2</v>
      </c>
      <c r="B24" s="10">
        <v>5.9292968515454838</v>
      </c>
      <c r="C24" s="14">
        <f>GETPIVOTDATA("Sum of Amount Spent",$A$3,"Campaign ID","Campaign 2")/GETPIVOTDATA("Sum of Clicks",$A$3,"Campaign ID","Campaign 2")</f>
        <v>0.42185947101255677</v>
      </c>
    </row>
    <row r="25" spans="1:10" x14ac:dyDescent="0.2">
      <c r="A25" t="str">
        <v>Campaign 3</v>
      </c>
      <c r="B25" s="10">
        <v>4.3538692180669036</v>
      </c>
      <c r="C25" s="14">
        <f>GETPIVOTDATA("Sum of Amount Spent",$A$3,"Campaign ID","Campaign 3")/GETPIVOTDATA("Sum of Clicks",$A$3,"Campaign ID","Campaign 3")</f>
        <v>7.1485714285714286</v>
      </c>
    </row>
    <row r="26" spans="1:10" x14ac:dyDescent="0.2">
      <c r="A26" t="str">
        <v>Campaign 4</v>
      </c>
      <c r="B26" s="10">
        <v>5.5134615326511502</v>
      </c>
      <c r="C26" s="14">
        <f>GETPIVOTDATA("Sum of Amount Spent",$A$3,"Campaign ID","Campaign 4")/GETPIVOTDATA("Sum of Clicks",$A$3,"Campaign ID","Campaign 4")</f>
        <v>5.4032748538011699</v>
      </c>
    </row>
    <row r="27" spans="1:10" x14ac:dyDescent="0.2">
      <c r="A27" t="str">
        <v>Campaign 5</v>
      </c>
      <c r="B27" s="10">
        <v>3.3636906720613964</v>
      </c>
      <c r="C27" s="14">
        <f>GETPIVOTDATA("Sum of Amount Spent",$A$3,"Campaign ID","Campaign 5")/GETPIVOTDATA("Sum of Clicks",$A$3,"Campaign ID","Campaign 5")</f>
        <v>1.2928703703703706</v>
      </c>
      <c r="G27" s="3" t="s">
        <v>3</v>
      </c>
      <c r="H27" t="s">
        <v>65</v>
      </c>
      <c r="I27" t="s">
        <v>61</v>
      </c>
    </row>
    <row r="28" spans="1:10" x14ac:dyDescent="0.2">
      <c r="A28" t="str">
        <v>Campaign 6</v>
      </c>
      <c r="B28" s="10">
        <v>4.3035625257440628</v>
      </c>
      <c r="C28" s="14">
        <f>GETPIVOTDATA("Sum of Amount Spent",$A$3,"Campaign ID","Campaign 6")/GETPIVOTDATA("Sum of Clicks",$A$3,"Campaign ID","Campaign 6")</f>
        <v>0.68229285714285715</v>
      </c>
      <c r="G28" s="4" t="s">
        <v>30</v>
      </c>
      <c r="H28" s="9">
        <v>119</v>
      </c>
      <c r="I28" s="11">
        <v>850.68</v>
      </c>
    </row>
    <row r="29" spans="1:10" x14ac:dyDescent="0.2">
      <c r="A29" t="str">
        <v>Campaign 7</v>
      </c>
      <c r="B29" s="10">
        <v>2.2311617081334894</v>
      </c>
      <c r="C29" s="14">
        <f>GETPIVOTDATA("Sum of Amount Spent",$A$3,"Campaign ID","Campaign 7")/GETPIVOTDATA("Sum of Clicks",$A$3,"Campaign ID","Campaign 7")</f>
        <v>0.72904225352112673</v>
      </c>
      <c r="G29" s="4" t="s">
        <v>33</v>
      </c>
      <c r="H29" s="9">
        <v>171</v>
      </c>
      <c r="I29" s="11">
        <v>923.96</v>
      </c>
    </row>
    <row r="30" spans="1:10" x14ac:dyDescent="0.2">
      <c r="A30" t="str">
        <v>Campaign 8</v>
      </c>
      <c r="B30" s="10">
        <v>9.8521289638791743</v>
      </c>
      <c r="C30" s="14">
        <f>GETPIVOTDATA("Sum of Amount Spent",$A$3,"Campaign ID","Campaign 8")/GETPIVOTDATA("Sum of Clicks",$A$3,"Campaign ID","Campaign 8")</f>
        <v>0.34096925858951171</v>
      </c>
      <c r="G30" s="4" t="s">
        <v>36</v>
      </c>
      <c r="H30" s="9">
        <v>648</v>
      </c>
      <c r="I30" s="11">
        <v>837.78000000000009</v>
      </c>
    </row>
    <row r="31" spans="1:10" x14ac:dyDescent="0.2">
      <c r="A31" t="str">
        <v>Campaign 9</v>
      </c>
      <c r="B31" s="10">
        <v>2.647769856499778</v>
      </c>
      <c r="C31" s="14">
        <f>GETPIVOTDATA("Sum of Amount Spent",$A$3,"Campaign ID","Campaign 9")/GETPIVOTDATA("Sum of Clicks",$A$3,"Campaign ID","Campaign 9")</f>
        <v>3.6209090909090911</v>
      </c>
      <c r="G31" s="4" t="s">
        <v>18</v>
      </c>
      <c r="H31" s="9">
        <v>1218</v>
      </c>
      <c r="I31" s="11">
        <v>2333.33</v>
      </c>
    </row>
    <row r="32" spans="1:10" x14ac:dyDescent="0.2">
      <c r="B32" s="10"/>
      <c r="G32" s="4" t="s">
        <v>26</v>
      </c>
      <c r="H32" s="9">
        <v>3743</v>
      </c>
      <c r="I32" s="11">
        <v>1579.02</v>
      </c>
    </row>
    <row r="33" spans="1:9" x14ac:dyDescent="0.2">
      <c r="G33" s="4" t="s">
        <v>39</v>
      </c>
      <c r="H33" s="9">
        <v>1400</v>
      </c>
      <c r="I33" s="11">
        <v>955.21</v>
      </c>
    </row>
    <row r="34" spans="1:9" x14ac:dyDescent="0.2">
      <c r="G34" s="4" t="s">
        <v>42</v>
      </c>
      <c r="H34" s="9">
        <v>1420</v>
      </c>
      <c r="I34" s="11">
        <v>1035.24</v>
      </c>
    </row>
    <row r="35" spans="1:9" x14ac:dyDescent="0.2">
      <c r="G35" s="4" t="s">
        <v>45</v>
      </c>
      <c r="H35" s="9">
        <v>2765</v>
      </c>
      <c r="I35" s="11">
        <v>942.77999999999986</v>
      </c>
    </row>
    <row r="36" spans="1:9" x14ac:dyDescent="0.2">
      <c r="G36" s="4" t="s">
        <v>48</v>
      </c>
      <c r="H36" s="9">
        <v>242</v>
      </c>
      <c r="I36" s="11">
        <v>876.26</v>
      </c>
    </row>
    <row r="37" spans="1:9" x14ac:dyDescent="0.2">
      <c r="G37" s="4" t="s">
        <v>51</v>
      </c>
      <c r="H37" s="9">
        <v>121</v>
      </c>
      <c r="I37" s="11">
        <v>856.67</v>
      </c>
    </row>
    <row r="38" spans="1:9" x14ac:dyDescent="0.2">
      <c r="G38" s="4" t="s">
        <v>54</v>
      </c>
      <c r="H38" s="9">
        <v>178</v>
      </c>
      <c r="I38" s="11">
        <v>897.68</v>
      </c>
    </row>
    <row r="39" spans="1:9" x14ac:dyDescent="0.2">
      <c r="G39" s="4" t="s">
        <v>56</v>
      </c>
      <c r="H39" s="9">
        <v>12025</v>
      </c>
      <c r="I39" s="11">
        <v>12088.610000000002</v>
      </c>
    </row>
    <row r="42" spans="1:9" x14ac:dyDescent="0.2">
      <c r="A42" t="s">
        <v>67</v>
      </c>
    </row>
    <row r="43" spans="1:9" x14ac:dyDescent="0.2">
      <c r="A43" s="9">
        <v>12025</v>
      </c>
      <c r="B43" s="18">
        <f>GETPIVOTDATA("Clicks",$A$42)</f>
        <v>12025</v>
      </c>
      <c r="G43" s="12" t="s">
        <v>3</v>
      </c>
    </row>
    <row r="44" spans="1:9" x14ac:dyDescent="0.2">
      <c r="G44" t="str" cm="1">
        <f t="array" ref="G44:G54">G28:G38</f>
        <v>Australia</v>
      </c>
      <c r="H44" s="12" t="s">
        <v>64</v>
      </c>
    </row>
    <row r="45" spans="1:9" x14ac:dyDescent="0.2">
      <c r="G45" t="str">
        <v>Canada</v>
      </c>
      <c r="H45" s="14">
        <f>GETPIVOTDATA("Sum of Amount Spent",$G$27,"Geography","Australia")/GETPIVOTDATA(" Clicks",$G$27,"Geography","Australia")</f>
        <v>7.1485714285714286</v>
      </c>
    </row>
    <row r="46" spans="1:9" x14ac:dyDescent="0.2">
      <c r="G46" t="str">
        <v>Ghana</v>
      </c>
      <c r="H46" s="14">
        <f>GETPIVOTDATA("Sum of Amount Spent",$G$27,"Geography","Canada")/GETPIVOTDATA(" Clicks",$G$27,"Geography","Canada")</f>
        <v>5.4032748538011699</v>
      </c>
    </row>
    <row r="47" spans="1:9" x14ac:dyDescent="0.2">
      <c r="A47" t="s">
        <v>60</v>
      </c>
      <c r="G47" t="str">
        <v>Group 1 (Australia, Canada, United Kingdom, Ghana, Nigeria, Pakistan, United States)</v>
      </c>
      <c r="H47" s="14">
        <f>GETPIVOTDATA("Sum of Amount Spent",$G$27,"Geography","Ghana")/GETPIVOTDATA(" Clicks",$G$27,"Geography","Ghana")</f>
        <v>1.2928703703703706</v>
      </c>
    </row>
    <row r="48" spans="1:9" x14ac:dyDescent="0.2">
      <c r="A48" s="10">
        <v>4.8145510484420795</v>
      </c>
      <c r="B48" s="17">
        <f>GETPIVOTDATA("Click-Through Rate (CTR in %)",$A$47)</f>
        <v>4.8145510484420795</v>
      </c>
      <c r="G48" t="str">
        <v>Group 2 (Australia, Canada, United Kingdom, Ghana, Niger, Nigeria, Nepal, Pakistan, Thailand, Taiwan)</v>
      </c>
      <c r="H48" s="14">
        <f>GETPIVOTDATA("Sum of Amount Spent",$G$27,"Geography","Group 1 (Australia, Canada, United Kingdom, Ghana, Nigeria, Pakistan, United States)")/GETPIVOTDATA(" Clicks",$G$27,"Geography","Group 1 (Australia, Canada, United Kingdom, Ghana, Nigeria, Pakistan, United States)")</f>
        <v>1.9157060755336617</v>
      </c>
    </row>
    <row r="49" spans="1:8" x14ac:dyDescent="0.2">
      <c r="G49" t="str">
        <v>India</v>
      </c>
      <c r="H49" s="14">
        <f>GETPIVOTDATA("Sum of Amount Spent",$G$27,"Geography","Group 2 (Australia, Canada, United Kingdom, Ghana, Niger, Nigeria, Nepal, Pakistan, Thailand, Taiwan)")/GETPIVOTDATA(" Clicks",$G$27,"Geography","Group 2 (Australia, Canada, United Kingdom, Ghana, Niger, Nigeria, Nepal, Pakistan, Thailand, Taiwan)")</f>
        <v>0.42185947101255677</v>
      </c>
    </row>
    <row r="50" spans="1:8" x14ac:dyDescent="0.2">
      <c r="G50" t="str">
        <v>Nepal</v>
      </c>
      <c r="H50" s="14">
        <f>GETPIVOTDATA("Sum of Amount Spent",$G$27,"Geography","India")/GETPIVOTDATA(" Clicks",$G$27,"Geography","India")</f>
        <v>0.68229285714285715</v>
      </c>
    </row>
    <row r="51" spans="1:8" x14ac:dyDescent="0.2">
      <c r="G51" t="str">
        <v>Nigeria</v>
      </c>
      <c r="H51" s="14">
        <f>GETPIVOTDATA("Sum of Amount Spent",$G$27,"Geography","Nepal")/GETPIVOTDATA(" Clicks",$G$27,"Geography","Nepal")</f>
        <v>0.72904225352112673</v>
      </c>
    </row>
    <row r="52" spans="1:8" x14ac:dyDescent="0.2">
      <c r="A52" s="12" t="s">
        <v>68</v>
      </c>
      <c r="G52" t="str">
        <v>UAE</v>
      </c>
      <c r="H52" s="14">
        <f>GETPIVOTDATA("Sum of Amount Spent",$G$27,"Geography","UAE")/GETPIVOTDATA(" Clicks",$G$27,"Geography","UAE")</f>
        <v>3.6209090909090911</v>
      </c>
    </row>
    <row r="53" spans="1:8" x14ac:dyDescent="0.2">
      <c r="A53">
        <v>11</v>
      </c>
      <c r="G53" t="str">
        <v>UK</v>
      </c>
      <c r="H53" s="14">
        <f>GETPIVOTDATA("Sum of Amount Spent",$G$27,"Geography","UK")/GETPIVOTDATA(" Clicks",$G$27,"Geography","UK")</f>
        <v>7.0799173553719008</v>
      </c>
    </row>
    <row r="54" spans="1:8" x14ac:dyDescent="0.2">
      <c r="G54" t="str">
        <v>USA</v>
      </c>
      <c r="H54" s="14">
        <f>GETPIVOTDATA("Sum of Amount Spent",$G$27,"Geography","USA")/GETPIVOTDATA(" Clicks",$G$27,"Geography","USA")</f>
        <v>5.04314606741573</v>
      </c>
    </row>
    <row r="56" spans="1:8" x14ac:dyDescent="0.2">
      <c r="A56" s="12" t="s">
        <v>69</v>
      </c>
    </row>
    <row r="57" spans="1:8" x14ac:dyDescent="0.2">
      <c r="A57" s="16">
        <f>AVERAGE(C21:C31)</f>
        <v>3.0616871892944912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FD1B-3C37-49DA-B170-C0CDE0C4E563}">
  <dimension ref="A1"/>
  <sheetViews>
    <sheetView showGridLines="0" tabSelected="1" topLeftCell="B12" zoomScale="71" zoomScaleNormal="71" workbookViewId="0">
      <selection activeCell="AD18" sqref="AD18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Team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Pamilerin Asipita</cp:lastModifiedBy>
  <dcterms:modified xsi:type="dcterms:W3CDTF">2025-05-01T20:21:55Z</dcterms:modified>
</cp:coreProperties>
</file>